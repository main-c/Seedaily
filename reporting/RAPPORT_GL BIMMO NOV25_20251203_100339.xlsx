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BI SEP" sheetId="1" state="visible" r:id="rId1"/>
    <sheet xmlns:r="http://schemas.openxmlformats.org/officeDocument/2006/relationships" name="BG BI SEP" sheetId="2" state="visible" r:id="rId2"/>
    <sheet xmlns:r="http://schemas.openxmlformats.org/officeDocument/2006/relationships" name="BILAN SYNTH" sheetId="3" state="visible" r:id="rId3"/>
    <sheet xmlns:r="http://schemas.openxmlformats.org/officeDocument/2006/relationships" name="CR SYNTH" sheetId="4" state="visible" r:id="rId4"/>
    <sheet xmlns:r="http://schemas.openxmlformats.org/officeDocument/2006/relationships" name="SIG" sheetId="5" state="visible" r:id="rId5"/>
    <sheet xmlns:r="http://schemas.openxmlformats.org/officeDocument/2006/relationships" name="SUIVI ACTIV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 ##0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i val="1"/>
      <sz val="9"/>
    </font>
    <font>
      <name val="Calibri"/>
      <i val="1"/>
      <color rgb="00666666"/>
      <sz val="9"/>
    </font>
    <font>
      <b val="1"/>
      <color rgb="00FFFFFF"/>
    </font>
    <font>
      <b val="1"/>
    </font>
    <font>
      <name val="Calibri"/>
      <b val="1"/>
      <color rgb="00FFFFFF"/>
      <sz val="14"/>
    </font>
    <font>
      <name val="Calibri"/>
      <b val="1"/>
      <sz val="13"/>
      <u val="single"/>
    </font>
    <font>
      <name val="Calibri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DB462"/>
        <bgColor rgb="00FDB462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8EA9DB"/>
        <bgColor rgb="008EA9DB"/>
      </patternFill>
    </fill>
    <fill>
      <patternFill patternType="solid">
        <fgColor rgb="00FFEB9C"/>
        <bgColor rgb="00FFEB9C"/>
      </patternFill>
    </fill>
    <fill>
      <patternFill patternType="solid">
        <fgColor rgb="00B4C6E7"/>
        <bgColor rgb="00B4C6E7"/>
      </patternFill>
    </fill>
    <fill>
      <patternFill patternType="solid">
        <fgColor rgb="00B3DE69"/>
        <bgColor rgb="00B3DE69"/>
      </patternFill>
    </fill>
    <fill>
      <patternFill patternType="solid">
        <fgColor rgb="00F0F0F0"/>
        <bgColor rgb="00F0F0F0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thin">
        <color rgb="00CCCCCC"/>
      </bottom>
    </border>
    <border/>
    <border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top style="medium">
        <color rgb="00000000"/>
      </top>
      <bottom style="thin">
        <color rgb="00CCCCCC"/>
      </bottom>
    </border>
    <border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2" pivotButton="0" quotePrefix="0" xfId="0"/>
    <xf numFmtId="165" fontId="2" fillId="3" borderId="2" pivotButton="0" quotePrefix="0" xfId="0"/>
    <xf numFmtId="0" fontId="12" fillId="0" borderId="0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4" fillId="6" borderId="5" applyAlignment="1" pivotButton="0" quotePrefix="0" xfId="0">
      <alignment horizontal="left" vertical="center"/>
    </xf>
    <xf numFmtId="165" fontId="4" fillId="6" borderId="5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9" fillId="4" borderId="0" pivotButton="0" quotePrefix="0" xfId="0"/>
    <xf numFmtId="165" fontId="9" fillId="4" borderId="0" applyAlignment="1" pivotButton="0" quotePrefix="0" xfId="0">
      <alignment horizontal="right"/>
    </xf>
    <xf numFmtId="0" fontId="9" fillId="7" borderId="0" pivotButton="0" quotePrefix="0" xfId="0"/>
    <xf numFmtId="165" fontId="9" fillId="7" borderId="0" applyAlignment="1" pivotButton="0" quotePrefix="0" xfId="0">
      <alignment horizontal="right"/>
    </xf>
    <xf numFmtId="0" fontId="9" fillId="8" borderId="0" pivotButton="0" quotePrefix="0" xfId="0"/>
    <xf numFmtId="165" fontId="9" fillId="8" borderId="0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165" fontId="0" fillId="10" borderId="0" pivotButton="0" quotePrefix="0" xfId="0"/>
    <xf numFmtId="0" fontId="9" fillId="0" borderId="0" pivotButton="0" quotePrefix="0" xfId="0"/>
    <xf numFmtId="165" fontId="9" fillId="0" borderId="0" pivotButton="0" quotePrefix="0" xfId="0"/>
    <xf numFmtId="165" fontId="9" fillId="10" borderId="0" pivotButton="0" quotePrefix="0" xfId="0"/>
    <xf numFmtId="0" fontId="2" fillId="3" borderId="6" pivotButton="0" quotePrefix="0" xfId="0"/>
    <xf numFmtId="165" fontId="2" fillId="3" borderId="6" pivotButton="0" quotePrefix="0" xfId="0"/>
    <xf numFmtId="0" fontId="11" fillId="9" borderId="7" pivotButton="0" quotePrefix="0" xfId="0"/>
    <xf numFmtId="165" fontId="11" fillId="9" borderId="7" pivotButton="0" quotePrefix="0" xfId="0"/>
  </cellXfs>
  <cellStyles count="1">
    <cellStyle name="Normal" xfId="0" builtinId="0" hidden="0"/>
  </cellStyles>
  <dxfs count="2">
    <dxf>
      <font>
        <b val="1"/>
        <color rgb="00006100"/>
      </font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N° Compte</t>
        </is>
      </c>
      <c r="B1" s="1" t="inlineStr">
        <is>
          <t>Date</t>
        </is>
      </c>
      <c r="C1" s="1" t="inlineStr">
        <is>
          <t>Journal</t>
        </is>
      </c>
      <c r="D1" s="1" t="inlineStr">
        <is>
          <t>N° Pièce</t>
        </is>
      </c>
      <c r="E1" s="1" t="inlineStr">
        <is>
          <t>Libellé</t>
        </is>
      </c>
      <c r="F1" s="1" t="inlineStr">
        <is>
          <t>Lettrage</t>
        </is>
      </c>
      <c r="G1" s="1" t="inlineStr">
        <is>
          <t>Débit</t>
        </is>
      </c>
      <c r="H1" s="1" t="inlineStr">
        <is>
          <t>Crédit</t>
        </is>
      </c>
      <c r="I1" s="1" t="inlineStr">
        <is>
          <t>Solde</t>
        </is>
      </c>
    </row>
    <row r="2">
      <c r="A2" t="n">
        <v>10120000</v>
      </c>
      <c r="B2" s="2" t="n">
        <v>45667</v>
      </c>
      <c r="C2" t="inlineStr">
        <is>
          <t>RAN</t>
        </is>
      </c>
      <c r="D2" t="inlineStr">
        <is>
          <t>RAN07001</t>
        </is>
      </c>
      <c r="E2" t="inlineStr">
        <is>
          <t>CAPITAL SOUSCRIT APPELE NON VERSE</t>
        </is>
      </c>
      <c r="F2" t="inlineStr"/>
      <c r="G2" s="3" t="n">
        <v>0</v>
      </c>
      <c r="H2" s="3" t="n">
        <v>500000</v>
      </c>
      <c r="I2" s="3" t="n">
        <v>-500000</v>
      </c>
    </row>
    <row r="3">
      <c r="A3" t="n">
        <v>10130000</v>
      </c>
      <c r="B3" s="2" t="n">
        <v>45667</v>
      </c>
      <c r="C3" t="inlineStr">
        <is>
          <t>RAN</t>
        </is>
      </c>
      <c r="D3" t="inlineStr">
        <is>
          <t>RAN07001</t>
        </is>
      </c>
      <c r="E3" t="inlineStr">
        <is>
          <t>CAPITAL SOUSCRIT APPELE NON VERSE</t>
        </is>
      </c>
      <c r="F3" t="inlineStr"/>
      <c r="G3" s="3" t="n">
        <v>0</v>
      </c>
      <c r="H3" s="3" t="n">
        <v>500000</v>
      </c>
      <c r="I3" s="3" t="n">
        <v>-500000</v>
      </c>
    </row>
    <row r="4">
      <c r="A4" t="n">
        <v>12100000</v>
      </c>
      <c r="B4" s="2" t="n">
        <v>45667</v>
      </c>
      <c r="C4" t="inlineStr">
        <is>
          <t>RAN</t>
        </is>
      </c>
      <c r="D4" t="inlineStr">
        <is>
          <t>RAN07001</t>
        </is>
      </c>
      <c r="E4" t="inlineStr">
        <is>
          <t>REPORT A NOUVEAU CREDITEUR</t>
        </is>
      </c>
      <c r="F4" t="inlineStr"/>
      <c r="G4" s="3" t="n">
        <v>0</v>
      </c>
      <c r="H4" s="3" t="n">
        <v>12124</v>
      </c>
      <c r="I4" s="3" t="n">
        <v>-12124</v>
      </c>
    </row>
    <row r="5">
      <c r="A5" t="n">
        <v>21220000</v>
      </c>
      <c r="B5" s="2" t="n">
        <v>45894</v>
      </c>
      <c r="C5" t="inlineStr">
        <is>
          <t>IMMO</t>
        </is>
      </c>
      <c r="D5" t="inlineStr">
        <is>
          <t>IMMO08001</t>
        </is>
      </c>
      <c r="E5" t="inlineStr">
        <is>
          <t>AQUISITION LOGICIELES MICROSOFT 365 BUSINESS BASIC</t>
        </is>
      </c>
      <c r="F5" t="inlineStr"/>
      <c r="G5" s="3" t="n">
        <v>99960</v>
      </c>
      <c r="H5" s="3" t="n">
        <v>0</v>
      </c>
      <c r="I5" s="3" t="n">
        <v>99960</v>
      </c>
    </row>
    <row r="6">
      <c r="A6" t="n">
        <v>23980000</v>
      </c>
      <c r="B6" s="2" t="n">
        <v>45818</v>
      </c>
      <c r="C6" t="inlineStr">
        <is>
          <t>IMMO</t>
        </is>
      </c>
      <c r="D6" t="inlineStr">
        <is>
          <t>IMMO06001</t>
        </is>
      </c>
      <c r="E6" t="inlineStr">
        <is>
          <t>TRAVX AMENAGEMENT BRX</t>
        </is>
      </c>
      <c r="F6" t="inlineStr"/>
      <c r="G6" s="3" t="n">
        <v>2500000</v>
      </c>
      <c r="H6" s="3" t="n">
        <v>0</v>
      </c>
      <c r="I6" s="3" t="n">
        <v>2500000</v>
      </c>
    </row>
    <row r="7">
      <c r="A7" t="n">
        <v>24510000</v>
      </c>
      <c r="B7" s="2" t="n">
        <v>45889</v>
      </c>
      <c r="C7" t="inlineStr">
        <is>
          <t>OD</t>
        </is>
      </c>
      <c r="D7" t="inlineStr">
        <is>
          <t>OD08002</t>
        </is>
      </c>
      <c r="E7" t="inlineStr">
        <is>
          <t>INTERCO/ACQUISITION VEHICULE</t>
        </is>
      </c>
      <c r="F7" t="inlineStr"/>
      <c r="G7" s="3" t="n">
        <v>14450911</v>
      </c>
      <c r="H7" s="3" t="n">
        <v>0</v>
      </c>
      <c r="I7" s="3" t="n">
        <v>14450911</v>
      </c>
    </row>
    <row r="8">
      <c r="A8" t="n">
        <v>28450000</v>
      </c>
      <c r="B8" s="2" t="n">
        <v>45900</v>
      </c>
      <c r="C8" t="inlineStr">
        <is>
          <t>OD</t>
        </is>
      </c>
      <c r="D8" t="inlineStr">
        <is>
          <t>OD08004</t>
        </is>
      </c>
      <c r="E8" t="inlineStr">
        <is>
          <t>AMORTISSEMENT DU MATERIEL DE TRANSPORT/DE MARS A AOUT 2025/ 6 MOIS</t>
        </is>
      </c>
      <c r="F8" t="inlineStr"/>
      <c r="G8" s="3" t="n">
        <v>0</v>
      </c>
      <c r="H8" s="3" t="n">
        <v>1445091</v>
      </c>
      <c r="I8" s="3" t="n">
        <v>-1445091</v>
      </c>
    </row>
    <row r="9">
      <c r="A9" t="n">
        <v>28450000</v>
      </c>
      <c r="B9" s="2" t="n">
        <v>45930</v>
      </c>
      <c r="C9" t="inlineStr">
        <is>
          <t>OD</t>
        </is>
      </c>
      <c r="D9" t="inlineStr">
        <is>
          <t>OD09002</t>
        </is>
      </c>
      <c r="E9" t="inlineStr">
        <is>
          <t>AMORTISSEMENT SEP 2025</t>
        </is>
      </c>
      <c r="F9" t="inlineStr"/>
      <c r="G9" s="3" t="n">
        <v>0</v>
      </c>
      <c r="H9" s="3" t="n">
        <v>240849</v>
      </c>
      <c r="I9" s="3" t="n">
        <v>-1685940</v>
      </c>
    </row>
    <row r="10">
      <c r="A10" t="n">
        <v>28450000</v>
      </c>
      <c r="B10" s="2" t="n">
        <v>45958</v>
      </c>
      <c r="C10" t="inlineStr">
        <is>
          <t>OD</t>
        </is>
      </c>
      <c r="D10" t="inlineStr">
        <is>
          <t>OD10002</t>
        </is>
      </c>
      <c r="E10" t="inlineStr">
        <is>
          <t>AMORTISSEMENT OCT 25</t>
        </is>
      </c>
      <c r="F10" t="inlineStr"/>
      <c r="G10" s="3" t="n">
        <v>0</v>
      </c>
      <c r="H10" s="3" t="n">
        <v>240849</v>
      </c>
      <c r="I10" s="3" t="n">
        <v>-1926789</v>
      </c>
    </row>
    <row r="11">
      <c r="A11" t="n">
        <v>28450000</v>
      </c>
      <c r="B11" s="2" t="n">
        <v>45988</v>
      </c>
      <c r="C11" t="inlineStr">
        <is>
          <t>OD</t>
        </is>
      </c>
      <c r="D11" t="inlineStr">
        <is>
          <t>OD11001</t>
        </is>
      </c>
      <c r="E11" t="inlineStr">
        <is>
          <t>AMORTISSEMENT NOV 25/MAT TRANS</t>
        </is>
      </c>
      <c r="F11" t="inlineStr"/>
      <c r="G11" s="3" t="n">
        <v>0</v>
      </c>
      <c r="H11" s="3" t="n">
        <v>240849</v>
      </c>
      <c r="I11" s="3" t="n">
        <v>-2167638</v>
      </c>
    </row>
    <row r="12">
      <c r="A12" t="n">
        <v>40110000</v>
      </c>
      <c r="B12" s="2" t="n">
        <v>45685</v>
      </c>
      <c r="C12" t="inlineStr">
        <is>
          <t>OD</t>
        </is>
      </c>
      <c r="D12" t="inlineStr">
        <is>
          <t>OD01001</t>
        </is>
      </c>
      <c r="E12" t="inlineStr">
        <is>
          <t>FACTURE 2BNC NøFA2BNC052 DE JANVIER 2025</t>
        </is>
      </c>
      <c r="F12" t="inlineStr">
        <is>
          <t>D</t>
        </is>
      </c>
      <c r="G12" s="3" t="n">
        <v>0</v>
      </c>
      <c r="H12" s="3" t="n">
        <v>200000</v>
      </c>
      <c r="I12" s="3" t="n">
        <v>-200000</v>
      </c>
    </row>
    <row r="13">
      <c r="A13" t="n">
        <v>40110000</v>
      </c>
      <c r="B13" s="2" t="n">
        <v>45685</v>
      </c>
      <c r="C13" t="inlineStr">
        <is>
          <t>OD</t>
        </is>
      </c>
      <c r="D13" t="inlineStr">
        <is>
          <t>OD01002</t>
        </is>
      </c>
      <c r="E13" t="inlineStr">
        <is>
          <t>RGL FACTURE 2BNC Nø FA2BNC052 DE JANVIER</t>
        </is>
      </c>
      <c r="F13" t="inlineStr">
        <is>
          <t>D</t>
        </is>
      </c>
      <c r="G13" s="3" t="n">
        <v>200000</v>
      </c>
      <c r="H13" s="3" t="n">
        <v>0</v>
      </c>
      <c r="I13" s="3" t="n">
        <v/>
      </c>
    </row>
    <row r="14">
      <c r="A14" t="n">
        <v>40110000</v>
      </c>
      <c r="B14" s="2" t="n">
        <v>45685</v>
      </c>
      <c r="C14" t="inlineStr">
        <is>
          <t>OD</t>
        </is>
      </c>
      <c r="D14" t="inlineStr">
        <is>
          <t>OD01003</t>
        </is>
      </c>
      <c r="E14" t="inlineStr">
        <is>
          <t>IMPRESSION CARNET 50 FEUILLE+SOUCHES</t>
        </is>
      </c>
      <c r="F14" t="inlineStr">
        <is>
          <t>A</t>
        </is>
      </c>
      <c r="G14" s="3" t="n">
        <v>0</v>
      </c>
      <c r="H14" s="3" t="n">
        <v>42716</v>
      </c>
      <c r="I14" s="3" t="n">
        <v>-42716</v>
      </c>
    </row>
    <row r="15">
      <c r="A15" t="n">
        <v>40110000</v>
      </c>
      <c r="B15" s="2" t="n">
        <v>45709</v>
      </c>
      <c r="C15" t="inlineStr">
        <is>
          <t>OD</t>
        </is>
      </c>
      <c r="D15" t="inlineStr">
        <is>
          <t>OD0201</t>
        </is>
      </c>
      <c r="E15" t="inlineStr">
        <is>
          <t>FACTURE 2BNC DE FEVRIER 2025</t>
        </is>
      </c>
      <c r="F15" t="inlineStr">
        <is>
          <t>E</t>
        </is>
      </c>
      <c r="G15" s="3" t="n">
        <v>0</v>
      </c>
      <c r="H15" s="3" t="n">
        <v>200000</v>
      </c>
      <c r="I15" s="3" t="n">
        <v>-242716</v>
      </c>
    </row>
    <row r="16">
      <c r="A16" t="n">
        <v>40110000</v>
      </c>
      <c r="B16" s="2" t="n">
        <v>45713</v>
      </c>
      <c r="C16" t="inlineStr">
        <is>
          <t>OD</t>
        </is>
      </c>
      <c r="D16" t="inlineStr">
        <is>
          <t>OD0204</t>
        </is>
      </c>
      <c r="E16" t="inlineStr">
        <is>
          <t>FA CABINET/FA2BNC063</t>
        </is>
      </c>
      <c r="F16" t="inlineStr">
        <is>
          <t>E</t>
        </is>
      </c>
      <c r="G16" s="3" t="n">
        <v>200000</v>
      </c>
      <c r="H16" s="3" t="n">
        <v>0</v>
      </c>
      <c r="I16" s="3" t="n">
        <v>-42716</v>
      </c>
    </row>
    <row r="17">
      <c r="A17" t="n">
        <v>40110000</v>
      </c>
      <c r="B17" s="2" t="n">
        <v>45737</v>
      </c>
      <c r="C17" t="inlineStr">
        <is>
          <t>OD</t>
        </is>
      </c>
      <c r="D17" t="inlineStr">
        <is>
          <t>OD03002</t>
        </is>
      </c>
      <c r="E17" t="inlineStr">
        <is>
          <t>RGL FAC SUIVI COMPTABLE DE MARS 2025</t>
        </is>
      </c>
      <c r="F17" t="inlineStr">
        <is>
          <t>I</t>
        </is>
      </c>
      <c r="G17" s="3" t="n">
        <v>200000</v>
      </c>
      <c r="H17" s="3" t="n">
        <v>0</v>
      </c>
      <c r="I17" s="3" t="n">
        <v>157284</v>
      </c>
    </row>
    <row r="18">
      <c r="A18" t="n">
        <v>40110000</v>
      </c>
      <c r="B18" s="2" t="n">
        <v>45737</v>
      </c>
      <c r="C18" t="inlineStr">
        <is>
          <t>OD</t>
        </is>
      </c>
      <c r="D18" t="inlineStr">
        <is>
          <t>OD08001</t>
        </is>
      </c>
      <c r="E18" t="inlineStr">
        <is>
          <t>SUIVI COMPTABLE DE MARS 2025</t>
        </is>
      </c>
      <c r="F18" t="inlineStr">
        <is>
          <t>I</t>
        </is>
      </c>
      <c r="G18" s="3" t="n">
        <v>0</v>
      </c>
      <c r="H18" s="3" t="n">
        <v>200000</v>
      </c>
      <c r="I18" s="3" t="n">
        <v>-42716</v>
      </c>
    </row>
    <row r="19">
      <c r="A19" t="n">
        <v>40110000</v>
      </c>
      <c r="B19" s="2" t="n">
        <v>45772</v>
      </c>
      <c r="C19" t="inlineStr">
        <is>
          <t>OD</t>
        </is>
      </c>
      <c r="D19" t="inlineStr">
        <is>
          <t>OD04001</t>
        </is>
      </c>
      <c r="E19" t="inlineStr">
        <is>
          <t>FACTURE 2BNC DE AVRIL 2025</t>
        </is>
      </c>
      <c r="F19" t="inlineStr"/>
      <c r="G19" s="3" t="n">
        <v>0</v>
      </c>
      <c r="H19" s="3" t="n">
        <v>200000</v>
      </c>
      <c r="I19" s="3" t="n">
        <v>-242716</v>
      </c>
    </row>
    <row r="20">
      <c r="A20" t="n">
        <v>40110000</v>
      </c>
      <c r="B20" s="2" t="n">
        <v>45797</v>
      </c>
      <c r="C20" t="inlineStr">
        <is>
          <t>OD</t>
        </is>
      </c>
      <c r="D20" t="inlineStr">
        <is>
          <t>OD05001</t>
        </is>
      </c>
      <c r="E20" t="inlineStr">
        <is>
          <t>FACTURE 2BNC DE MAI 2025</t>
        </is>
      </c>
      <c r="F20" t="inlineStr"/>
      <c r="G20" s="3" t="n">
        <v>0</v>
      </c>
      <c r="H20" s="3" t="n">
        <v>200000</v>
      </c>
      <c r="I20" s="3" t="n">
        <v>-442716</v>
      </c>
    </row>
    <row r="21">
      <c r="A21" t="n">
        <v>40110000</v>
      </c>
      <c r="B21" s="2" t="n">
        <v>45835</v>
      </c>
      <c r="C21" t="inlineStr">
        <is>
          <t>OD</t>
        </is>
      </c>
      <c r="D21" t="inlineStr">
        <is>
          <t>OD06001</t>
        </is>
      </c>
      <c r="E21" t="inlineStr">
        <is>
          <t>FACTURE DE JUIN 2025/FA2BNC114</t>
        </is>
      </c>
      <c r="F21" t="inlineStr">
        <is>
          <t>A</t>
        </is>
      </c>
      <c r="G21" s="3" t="n">
        <v>0</v>
      </c>
      <c r="H21" s="3" t="n">
        <v>200000</v>
      </c>
      <c r="I21" s="3" t="n">
        <v>-642716</v>
      </c>
    </row>
    <row r="22">
      <c r="A22" t="n">
        <v>40110000</v>
      </c>
      <c r="B22" s="2" t="n">
        <v>45835</v>
      </c>
      <c r="C22" t="inlineStr">
        <is>
          <t>BQE</t>
        </is>
      </c>
      <c r="D22" t="inlineStr">
        <is>
          <t>BQE06013</t>
        </is>
      </c>
      <c r="E22" t="inlineStr">
        <is>
          <t>VIR/EMIS/INTRA/AGENCE/REGLEMENT FACTURE JUIN 2025</t>
        </is>
      </c>
      <c r="F22" t="inlineStr">
        <is>
          <t>A</t>
        </is>
      </c>
      <c r="G22" s="3" t="n">
        <v>200000</v>
      </c>
      <c r="H22" s="3" t="n">
        <v>0</v>
      </c>
      <c r="I22" s="3" t="n">
        <v>-442716</v>
      </c>
    </row>
    <row r="23">
      <c r="A23" t="n">
        <v>40110000</v>
      </c>
      <c r="B23" s="2" t="n">
        <v>45869</v>
      </c>
      <c r="C23" t="inlineStr">
        <is>
          <t>OD</t>
        </is>
      </c>
      <c r="D23" t="inlineStr">
        <is>
          <t>COM07001</t>
        </is>
      </c>
      <c r="E23" t="inlineStr">
        <is>
          <t>ASSISTACE COMPTABLE FOC NøFA2BN126/JUIL 2025</t>
        </is>
      </c>
      <c r="F23" t="inlineStr">
        <is>
          <t>B</t>
        </is>
      </c>
      <c r="G23" s="3" t="n">
        <v>0</v>
      </c>
      <c r="H23" s="3" t="n">
        <v>200000</v>
      </c>
      <c r="I23" s="3" t="n">
        <v>-642716</v>
      </c>
    </row>
    <row r="24">
      <c r="A24" t="n">
        <v>40110000</v>
      </c>
      <c r="B24" s="2" t="n">
        <v>45877</v>
      </c>
      <c r="C24" t="inlineStr">
        <is>
          <t>BQE</t>
        </is>
      </c>
      <c r="D24" t="inlineStr">
        <is>
          <t>BQ08002</t>
        </is>
      </c>
      <c r="E24" t="inlineStr">
        <is>
          <t>RELT FACTURE JUILLET 2BNC</t>
        </is>
      </c>
      <c r="F24" t="inlineStr">
        <is>
          <t>B</t>
        </is>
      </c>
      <c r="G24" s="3" t="n">
        <v>200000</v>
      </c>
      <c r="H24" s="3" t="n">
        <v>0</v>
      </c>
      <c r="I24" s="3" t="n">
        <v>-442716</v>
      </c>
    </row>
    <row r="25">
      <c r="A25" t="n">
        <v>40110000</v>
      </c>
      <c r="B25" s="2" t="n">
        <v>45896</v>
      </c>
      <c r="C25" t="inlineStr">
        <is>
          <t>OD</t>
        </is>
      </c>
      <c r="D25" t="inlineStr">
        <is>
          <t>OD08003</t>
        </is>
      </c>
      <c r="E25" t="inlineStr">
        <is>
          <t>SUIVI COMPTABLE DE AOUT/FAC NøFA2BNC134</t>
        </is>
      </c>
      <c r="F25" t="inlineStr">
        <is>
          <t>C</t>
        </is>
      </c>
      <c r="G25" s="3" t="n">
        <v>0</v>
      </c>
      <c r="H25" s="3" t="n">
        <v>200000</v>
      </c>
      <c r="I25" s="3" t="n">
        <v>-642716</v>
      </c>
    </row>
    <row r="26">
      <c r="A26" t="n">
        <v>40110000</v>
      </c>
      <c r="B26" s="2" t="n">
        <v>45912</v>
      </c>
      <c r="C26" t="inlineStr">
        <is>
          <t>BQE</t>
        </is>
      </c>
      <c r="D26" t="inlineStr">
        <is>
          <t>BQ09009</t>
        </is>
      </c>
      <c r="E26" t="inlineStr">
        <is>
          <t>REL FAC AOUT/ASSISTANCE COMPTABLE</t>
        </is>
      </c>
      <c r="F26" t="inlineStr">
        <is>
          <t>C</t>
        </is>
      </c>
      <c r="G26" s="3" t="n">
        <v>200000</v>
      </c>
      <c r="H26" s="3" t="n">
        <v>0</v>
      </c>
      <c r="I26" s="3" t="n">
        <v>-442716</v>
      </c>
    </row>
    <row r="27">
      <c r="A27" t="n">
        <v>40110000</v>
      </c>
      <c r="B27" s="2" t="n">
        <v>45924</v>
      </c>
      <c r="C27" t="inlineStr">
        <is>
          <t>OD</t>
        </is>
      </c>
      <c r="D27" t="inlineStr">
        <is>
          <t>OD09001</t>
        </is>
      </c>
      <c r="E27" t="inlineStr">
        <is>
          <t>FAC NøFA2BNC138/ASSISTANCE COMPTABLE SEP 2025</t>
        </is>
      </c>
      <c r="F27" t="inlineStr">
        <is>
          <t>H</t>
        </is>
      </c>
      <c r="G27" s="3" t="n">
        <v>0</v>
      </c>
      <c r="H27" s="3" t="n">
        <v>200000</v>
      </c>
      <c r="I27" s="3" t="n">
        <v>-642716</v>
      </c>
    </row>
    <row r="28">
      <c r="A28" t="n">
        <v>40110000</v>
      </c>
      <c r="B28" s="2" t="n">
        <v>45937</v>
      </c>
      <c r="C28" t="inlineStr">
        <is>
          <t>BQE</t>
        </is>
      </c>
      <c r="D28" t="inlineStr">
        <is>
          <t>BQE10003</t>
        </is>
      </c>
      <c r="E28" t="inlineStr">
        <is>
          <t>RGL FACTURE 2BNC DE SEPTEMBRE 2025</t>
        </is>
      </c>
      <c r="F28" t="inlineStr">
        <is>
          <t>H</t>
        </is>
      </c>
      <c r="G28" s="3" t="n">
        <v>200000</v>
      </c>
      <c r="H28" s="3" t="n">
        <v>0</v>
      </c>
      <c r="I28" s="3" t="n">
        <v>-442716</v>
      </c>
    </row>
    <row r="29">
      <c r="A29" t="n">
        <v>40110000</v>
      </c>
      <c r="B29" s="2" t="n">
        <v>45940</v>
      </c>
      <c r="C29" t="inlineStr">
        <is>
          <t>OD</t>
        </is>
      </c>
      <c r="D29" t="inlineStr">
        <is>
          <t>OD10003</t>
        </is>
      </c>
      <c r="E29" t="inlineStr">
        <is>
          <t>IMPRESSION CARNET 50 FEUILLE+SOUCHES</t>
        </is>
      </c>
      <c r="F29" t="inlineStr">
        <is>
          <t>A</t>
        </is>
      </c>
      <c r="G29" s="3" t="n">
        <v>0</v>
      </c>
      <c r="H29" s="3" t="n">
        <v>43188</v>
      </c>
      <c r="I29" s="3" t="n">
        <v>-485904</v>
      </c>
    </row>
    <row r="30">
      <c r="A30" t="n">
        <v>40110000</v>
      </c>
      <c r="B30" s="2" t="n">
        <v>45940</v>
      </c>
      <c r="C30" t="inlineStr">
        <is>
          <t>BQE</t>
        </is>
      </c>
      <c r="D30" t="inlineStr">
        <is>
          <t>BQE10008</t>
        </is>
      </c>
      <c r="E30" t="inlineStr">
        <is>
          <t>RGL FACTURE B.COM DE OCTOBRE 2025</t>
        </is>
      </c>
      <c r="F30" t="inlineStr">
        <is>
          <t>A</t>
        </is>
      </c>
      <c r="G30" s="3" t="n">
        <v>85904</v>
      </c>
      <c r="H30" s="3" t="n">
        <v>0</v>
      </c>
      <c r="I30" s="3" t="n">
        <v>-400000</v>
      </c>
    </row>
    <row r="31">
      <c r="A31" t="n">
        <v>40110000</v>
      </c>
      <c r="B31" s="2" t="n">
        <v>45958</v>
      </c>
      <c r="C31" t="inlineStr">
        <is>
          <t>OD</t>
        </is>
      </c>
      <c r="D31" t="inlineStr">
        <is>
          <t>OD10001</t>
        </is>
      </c>
      <c r="E31" t="inlineStr">
        <is>
          <t>SUIVI COMPTABLE OCT 25/ FAC NøFA2BNC152</t>
        </is>
      </c>
      <c r="F31" t="inlineStr">
        <is>
          <t>G</t>
        </is>
      </c>
      <c r="G31" s="3" t="n">
        <v>0</v>
      </c>
      <c r="H31" s="3" t="n">
        <v>200000</v>
      </c>
      <c r="I31" s="3" t="n">
        <v>-600000</v>
      </c>
    </row>
    <row r="32">
      <c r="A32" t="n">
        <v>40110000</v>
      </c>
      <c r="B32" s="2" t="n">
        <v>45960</v>
      </c>
      <c r="C32" t="inlineStr">
        <is>
          <t>BQE</t>
        </is>
      </c>
      <c r="D32" t="inlineStr">
        <is>
          <t>BQE10016</t>
        </is>
      </c>
      <c r="E32" t="inlineStr">
        <is>
          <t>REGL FACTURE 2BNC DE OCTOBRE 2025</t>
        </is>
      </c>
      <c r="F32" t="inlineStr">
        <is>
          <t>G</t>
        </is>
      </c>
      <c r="G32" s="3" t="n">
        <v>200000</v>
      </c>
      <c r="H32" s="3" t="n">
        <v>0</v>
      </c>
      <c r="I32" s="3" t="n">
        <v>-400000</v>
      </c>
    </row>
    <row r="33">
      <c r="A33" t="n">
        <v>40110000</v>
      </c>
      <c r="B33" s="2" t="n">
        <v>45988</v>
      </c>
      <c r="C33" t="inlineStr">
        <is>
          <t>OD</t>
        </is>
      </c>
      <c r="D33" t="inlineStr">
        <is>
          <t>OD11001</t>
        </is>
      </c>
      <c r="E33" t="inlineStr">
        <is>
          <t>ASSISTANCE COMPTABLE 2BNC NOV 25</t>
        </is>
      </c>
      <c r="F33" t="inlineStr"/>
      <c r="G33" s="3" t="n">
        <v>0</v>
      </c>
      <c r="H33" s="3" t="n">
        <v>200000</v>
      </c>
      <c r="I33" s="3" t="n">
        <v>-600000</v>
      </c>
    </row>
    <row r="34">
      <c r="A34" t="n">
        <v>40810000</v>
      </c>
      <c r="B34" s="2" t="n">
        <v>45812</v>
      </c>
      <c r="C34" t="inlineStr">
        <is>
          <t>BQE</t>
        </is>
      </c>
      <c r="D34" t="inlineStr">
        <is>
          <t>BQE06001</t>
        </is>
      </c>
      <c r="E34" t="inlineStr">
        <is>
          <t>ASSURANCE REPONSABILLITE CIVILE BAMBOO IMMO/BAMBOO ASSURE</t>
        </is>
      </c>
      <c r="F34" t="inlineStr"/>
      <c r="G34" s="3" t="n">
        <v>119900</v>
      </c>
      <c r="H34" s="3" t="n">
        <v>0</v>
      </c>
      <c r="I34" s="3" t="n">
        <v>119900</v>
      </c>
    </row>
    <row r="35">
      <c r="A35" t="n">
        <v>41110000</v>
      </c>
      <c r="B35" s="2" t="n">
        <v>45664</v>
      </c>
      <c r="C35" t="inlineStr">
        <is>
          <t>BQE</t>
        </is>
      </c>
      <c r="D35" t="inlineStr">
        <is>
          <t>1</t>
        </is>
      </c>
      <c r="E35" t="inlineStr">
        <is>
          <t>VERSEMENT ESPECES BAMBOO IMMO /GUY PATRICK</t>
        </is>
      </c>
      <c r="F35" t="inlineStr">
        <is>
          <t>A</t>
        </is>
      </c>
      <c r="G35" s="3" t="n">
        <v>0</v>
      </c>
      <c r="H35" s="3" t="n">
        <v>123200</v>
      </c>
      <c r="I35" s="3" t="n">
        <v>-123200</v>
      </c>
    </row>
    <row r="36">
      <c r="A36" t="n">
        <v>41110000</v>
      </c>
      <c r="B36" s="2" t="n">
        <v>45664</v>
      </c>
      <c r="C36" t="inlineStr">
        <is>
          <t>COM</t>
        </is>
      </c>
      <c r="D36" t="inlineStr">
        <is>
          <t>2</t>
        </is>
      </c>
      <c r="E36" t="inlineStr">
        <is>
          <t>COM/ LOYER</t>
        </is>
      </c>
      <c r="F36" t="inlineStr">
        <is>
          <t>A</t>
        </is>
      </c>
      <c r="G36" s="3" t="n">
        <v>123200</v>
      </c>
      <c r="H36" s="3" t="n">
        <v>0</v>
      </c>
      <c r="I36" s="3" t="n">
        <v/>
      </c>
    </row>
    <row r="37">
      <c r="A37" t="n">
        <v>41110000</v>
      </c>
      <c r="B37" s="2" t="n">
        <v>45666</v>
      </c>
      <c r="C37" t="inlineStr">
        <is>
          <t>BQE</t>
        </is>
      </c>
      <c r="D37" t="inlineStr">
        <is>
          <t>3</t>
        </is>
      </c>
      <c r="E37" t="inlineStr">
        <is>
          <t>VERSEMENT ESPECES /DARRYL</t>
        </is>
      </c>
      <c r="F37" t="inlineStr"/>
      <c r="G37" s="3" t="n">
        <v>0</v>
      </c>
      <c r="H37" s="3" t="n">
        <v>28000</v>
      </c>
      <c r="I37" s="3" t="n">
        <v>-28000</v>
      </c>
    </row>
    <row r="38">
      <c r="A38" t="n">
        <v>41110000</v>
      </c>
      <c r="B38" s="2" t="n">
        <v>45666</v>
      </c>
      <c r="C38" t="inlineStr">
        <is>
          <t>COM</t>
        </is>
      </c>
      <c r="D38" t="inlineStr">
        <is>
          <t>4</t>
        </is>
      </c>
      <c r="E38" t="inlineStr">
        <is>
          <t>COM LOYER/DARRIL</t>
        </is>
      </c>
      <c r="F38" t="inlineStr"/>
      <c r="G38" s="3" t="n">
        <v>28000</v>
      </c>
      <c r="H38" s="3" t="n">
        <v>0</v>
      </c>
      <c r="I38" s="3" t="n">
        <v/>
      </c>
    </row>
    <row r="39">
      <c r="A39" t="n">
        <v>41110000</v>
      </c>
      <c r="B39" s="2" t="n">
        <v>45667</v>
      </c>
      <c r="C39" t="inlineStr">
        <is>
          <t>BQE</t>
        </is>
      </c>
      <c r="D39" t="inlineStr">
        <is>
          <t>5</t>
        </is>
      </c>
      <c r="E39" t="inlineStr">
        <is>
          <t>VERSEMENT ESPECES BAMBOO IMMO /GUY PATRICK</t>
        </is>
      </c>
      <c r="F39" t="inlineStr">
        <is>
          <t>B</t>
        </is>
      </c>
      <c r="G39" s="3" t="n">
        <v>0</v>
      </c>
      <c r="H39" s="3" t="n">
        <v>18000</v>
      </c>
      <c r="I39" s="3" t="n">
        <v>-18000</v>
      </c>
    </row>
    <row r="40">
      <c r="A40" t="n">
        <v>41110000</v>
      </c>
      <c r="B40" s="2" t="n">
        <v>45667</v>
      </c>
      <c r="C40" t="inlineStr">
        <is>
          <t>COM</t>
        </is>
      </c>
      <c r="D40" t="inlineStr">
        <is>
          <t>6</t>
        </is>
      </c>
      <c r="E40" t="inlineStr">
        <is>
          <t>COM/</t>
        </is>
      </c>
      <c r="F40" t="inlineStr">
        <is>
          <t>B</t>
        </is>
      </c>
      <c r="G40" s="3" t="n">
        <v>18000</v>
      </c>
      <c r="H40" s="3" t="n">
        <v>0</v>
      </c>
      <c r="I40" s="3" t="n">
        <v/>
      </c>
    </row>
    <row r="41">
      <c r="A41" t="n">
        <v>41110000</v>
      </c>
      <c r="B41" s="2" t="n">
        <v>45667</v>
      </c>
      <c r="C41" t="inlineStr">
        <is>
          <t>BQE</t>
        </is>
      </c>
      <c r="D41" t="inlineStr">
        <is>
          <t>7</t>
        </is>
      </c>
      <c r="E41" t="inlineStr">
        <is>
          <t>VERSEMENT ESPECES BAMBOO IMMO/HONORAIRES</t>
        </is>
      </c>
      <c r="F41" t="inlineStr">
        <is>
          <t>S</t>
        </is>
      </c>
      <c r="G41" s="3" t="n">
        <v>0</v>
      </c>
      <c r="H41" s="3" t="n">
        <v>49000</v>
      </c>
      <c r="I41" s="3" t="n">
        <v>-49000</v>
      </c>
    </row>
    <row r="42">
      <c r="A42" t="n">
        <v>41110000</v>
      </c>
      <c r="B42" s="2" t="n">
        <v>45667</v>
      </c>
      <c r="C42" t="inlineStr">
        <is>
          <t>COM</t>
        </is>
      </c>
      <c r="D42" t="inlineStr">
        <is>
          <t>8</t>
        </is>
      </c>
      <c r="E42" t="inlineStr">
        <is>
          <t>COM/NZAOU DIFOUTA</t>
        </is>
      </c>
      <c r="F42" t="inlineStr">
        <is>
          <t>S</t>
        </is>
      </c>
      <c r="G42" s="3" t="n">
        <v>49000</v>
      </c>
      <c r="H42" s="3" t="n">
        <v>0</v>
      </c>
      <c r="I42" s="3" t="n">
        <v/>
      </c>
    </row>
    <row r="43">
      <c r="A43" t="n">
        <v>41110000</v>
      </c>
      <c r="B43" s="2" t="n">
        <v>45667</v>
      </c>
      <c r="C43" t="inlineStr">
        <is>
          <t>BQE</t>
        </is>
      </c>
      <c r="D43" t="inlineStr">
        <is>
          <t>10</t>
        </is>
      </c>
      <c r="E43" t="inlineStr">
        <is>
          <t>VERSEMENT ESPECES BAMBOO IMMO / GUY PATRICK/HONORAIRE</t>
        </is>
      </c>
      <c r="F43" t="inlineStr">
        <is>
          <t>T</t>
        </is>
      </c>
      <c r="G43" s="3" t="n">
        <v>0</v>
      </c>
      <c r="H43" s="3" t="n">
        <v>45500</v>
      </c>
      <c r="I43" s="3" t="n">
        <v>-45500</v>
      </c>
    </row>
    <row r="44">
      <c r="A44" t="n">
        <v>41110000</v>
      </c>
      <c r="B44" s="2" t="n">
        <v>45667</v>
      </c>
      <c r="C44" t="inlineStr">
        <is>
          <t>COM</t>
        </is>
      </c>
      <c r="D44" t="inlineStr">
        <is>
          <t>11</t>
        </is>
      </c>
      <c r="E44" t="inlineStr">
        <is>
          <t>COM/ LOYER MABICKA</t>
        </is>
      </c>
      <c r="F44" t="inlineStr">
        <is>
          <t>T</t>
        </is>
      </c>
      <c r="G44" s="3" t="n">
        <v>45500</v>
      </c>
      <c r="H44" s="3" t="n">
        <v>0</v>
      </c>
      <c r="I44" s="3" t="n">
        <v/>
      </c>
    </row>
    <row r="45">
      <c r="A45" t="n">
        <v>41110000</v>
      </c>
      <c r="B45" s="2" t="n">
        <v>45670</v>
      </c>
      <c r="C45" t="inlineStr">
        <is>
          <t>BQE</t>
        </is>
      </c>
      <c r="D45" t="inlineStr">
        <is>
          <t>12</t>
        </is>
      </c>
      <c r="E45" t="inlineStr">
        <is>
          <t>VERSEMENT ESPECES BAMBOO IMMO /GUY PATRICK</t>
        </is>
      </c>
      <c r="F45" t="inlineStr">
        <is>
          <t>V</t>
        </is>
      </c>
      <c r="G45" s="3" t="n">
        <v>0</v>
      </c>
      <c r="H45" s="3" t="n">
        <v>75000</v>
      </c>
      <c r="I45" s="3" t="n">
        <v>-75000</v>
      </c>
    </row>
    <row r="46">
      <c r="A46" t="n">
        <v>41110000</v>
      </c>
      <c r="B46" s="2" t="n">
        <v>45670</v>
      </c>
      <c r="C46" t="inlineStr">
        <is>
          <t>COM</t>
        </is>
      </c>
      <c r="D46" t="inlineStr">
        <is>
          <t>13</t>
        </is>
      </c>
      <c r="E46" t="inlineStr">
        <is>
          <t>COM LOYER/ OSSEY LYSE</t>
        </is>
      </c>
      <c r="F46" t="inlineStr">
        <is>
          <t>V</t>
        </is>
      </c>
      <c r="G46" s="3" t="n">
        <v>75000</v>
      </c>
      <c r="H46" s="3" t="n">
        <v>0</v>
      </c>
      <c r="I46" s="3" t="n">
        <v/>
      </c>
    </row>
    <row r="47">
      <c r="A47" t="n">
        <v>41110000</v>
      </c>
      <c r="B47" s="2" t="n">
        <v>45670</v>
      </c>
      <c r="C47" t="inlineStr">
        <is>
          <t>BQE</t>
        </is>
      </c>
      <c r="D47" t="inlineStr">
        <is>
          <t>14</t>
        </is>
      </c>
      <c r="E47" t="inlineStr">
        <is>
          <t>VERSEMENT ESPECES BAMBOO IMMO/GUY PATRICK</t>
        </is>
      </c>
      <c r="F47" t="inlineStr">
        <is>
          <t>U</t>
        </is>
      </c>
      <c r="G47" s="3" t="n">
        <v>0</v>
      </c>
      <c r="H47" s="3" t="n">
        <v>70000</v>
      </c>
      <c r="I47" s="3" t="n">
        <v>-70000</v>
      </c>
    </row>
    <row r="48">
      <c r="A48" t="n">
        <v>41110000</v>
      </c>
      <c r="B48" s="2" t="n">
        <v>45670</v>
      </c>
      <c r="C48" t="inlineStr">
        <is>
          <t>COM</t>
        </is>
      </c>
      <c r="D48" t="inlineStr">
        <is>
          <t>15</t>
        </is>
      </c>
      <c r="E48" t="inlineStr">
        <is>
          <t>COM/LOYER/ DAISY</t>
        </is>
      </c>
      <c r="F48" t="inlineStr">
        <is>
          <t>U</t>
        </is>
      </c>
      <c r="G48" s="3" t="n">
        <v>70000</v>
      </c>
      <c r="H48" s="3" t="n">
        <v>0</v>
      </c>
      <c r="I48" s="3" t="n">
        <v/>
      </c>
    </row>
    <row r="49">
      <c r="A49" t="n">
        <v>41110000</v>
      </c>
      <c r="B49" s="2" t="n">
        <v>45686</v>
      </c>
      <c r="C49" t="inlineStr">
        <is>
          <t>BQE</t>
        </is>
      </c>
      <c r="D49" t="inlineStr">
        <is>
          <t>16</t>
        </is>
      </c>
      <c r="E49" t="inlineStr">
        <is>
          <t>VERSEMENT ESPECES BAMBOO IMMO/GUY PATRICK/HONORAIRES</t>
        </is>
      </c>
      <c r="F49" t="inlineStr">
        <is>
          <t>W</t>
        </is>
      </c>
      <c r="G49" s="3" t="n">
        <v>0</v>
      </c>
      <c r="H49" s="3" t="n">
        <v>73150</v>
      </c>
      <c r="I49" s="3" t="n">
        <v>-73150</v>
      </c>
    </row>
    <row r="50">
      <c r="A50" t="n">
        <v>41110000</v>
      </c>
      <c r="B50" s="2" t="n">
        <v>45686</v>
      </c>
      <c r="C50" t="inlineStr">
        <is>
          <t>COM</t>
        </is>
      </c>
      <c r="D50" t="inlineStr">
        <is>
          <t>17</t>
        </is>
      </c>
      <c r="E50" t="inlineStr">
        <is>
          <t>COM/LOYER/ MICKALA EP</t>
        </is>
      </c>
      <c r="F50" t="inlineStr">
        <is>
          <t>W</t>
        </is>
      </c>
      <c r="G50" s="3" t="n">
        <v>73150</v>
      </c>
      <c r="H50" s="3" t="n">
        <v>0</v>
      </c>
      <c r="I50" s="3" t="n">
        <v/>
      </c>
    </row>
    <row r="51">
      <c r="A51" t="n">
        <v>41110000</v>
      </c>
      <c r="B51" s="2" t="n">
        <v>45695</v>
      </c>
      <c r="C51" t="inlineStr">
        <is>
          <t>COM</t>
        </is>
      </c>
      <c r="D51" t="inlineStr">
        <is>
          <t>21</t>
        </is>
      </c>
      <c r="E51" t="inlineStr">
        <is>
          <t>COMMISSIONS FEV</t>
        </is>
      </c>
      <c r="F51" t="inlineStr">
        <is>
          <t>B</t>
        </is>
      </c>
      <c r="G51" s="3" t="n">
        <v>70000</v>
      </c>
      <c r="H51" s="3" t="n">
        <v>0</v>
      </c>
      <c r="I51" s="3" t="n">
        <v>70000</v>
      </c>
    </row>
    <row r="52">
      <c r="A52" t="n">
        <v>41110000</v>
      </c>
      <c r="B52" s="2" t="n">
        <v>45695</v>
      </c>
      <c r="C52" t="inlineStr">
        <is>
          <t>BQE</t>
        </is>
      </c>
      <c r="D52" t="inlineStr">
        <is>
          <t>BQE0201</t>
        </is>
      </c>
      <c r="E52" t="inlineStr">
        <is>
          <t>VERSMNT ESPECES</t>
        </is>
      </c>
      <c r="F52" t="inlineStr">
        <is>
          <t>B</t>
        </is>
      </c>
      <c r="G52" s="3" t="n">
        <v>0</v>
      </c>
      <c r="H52" s="3" t="n">
        <v>70000</v>
      </c>
      <c r="I52" s="3" t="n">
        <v/>
      </c>
    </row>
    <row r="53">
      <c r="A53" t="n">
        <v>41110000</v>
      </c>
      <c r="B53" s="2" t="n">
        <v>45700</v>
      </c>
      <c r="C53" t="inlineStr">
        <is>
          <t>BQE</t>
        </is>
      </c>
      <c r="D53" t="inlineStr">
        <is>
          <t>BQE0203</t>
        </is>
      </c>
      <c r="E53" t="inlineStr">
        <is>
          <t>VERSMNT ESPECES</t>
        </is>
      </c>
      <c r="F53" t="inlineStr">
        <is>
          <t>F</t>
        </is>
      </c>
      <c r="G53" s="3" t="n">
        <v>0</v>
      </c>
      <c r="H53" s="3" t="n">
        <v>67000</v>
      </c>
      <c r="I53" s="3" t="n">
        <v>-67000</v>
      </c>
    </row>
    <row r="54">
      <c r="A54" t="n">
        <v>41110000</v>
      </c>
      <c r="B54" s="2" t="n">
        <v>45700</v>
      </c>
      <c r="C54" t="inlineStr">
        <is>
          <t>BQE</t>
        </is>
      </c>
      <c r="D54" t="inlineStr">
        <is>
          <t>BQE0204</t>
        </is>
      </c>
      <c r="E54" t="inlineStr">
        <is>
          <t>VERSMNT ESPECES</t>
        </is>
      </c>
      <c r="F54" t="inlineStr">
        <is>
          <t>G</t>
        </is>
      </c>
      <c r="G54" s="3" t="n">
        <v>0</v>
      </c>
      <c r="H54" s="3" t="n">
        <v>112000</v>
      </c>
      <c r="I54" s="3" t="n">
        <v>-179000</v>
      </c>
    </row>
    <row r="55">
      <c r="A55" t="n">
        <v>41110000</v>
      </c>
      <c r="B55" s="2" t="n">
        <v>45700</v>
      </c>
      <c r="C55" t="inlineStr">
        <is>
          <t>BQE</t>
        </is>
      </c>
      <c r="D55" t="inlineStr">
        <is>
          <t>BQE0205</t>
        </is>
      </c>
      <c r="E55" t="inlineStr">
        <is>
          <t>VERSMNT ESPECES</t>
        </is>
      </c>
      <c r="F55" t="inlineStr">
        <is>
          <t>G</t>
        </is>
      </c>
      <c r="G55" s="3" t="n">
        <v>0</v>
      </c>
      <c r="H55" s="3" t="n">
        <v>17500</v>
      </c>
      <c r="I55" s="3" t="n">
        <v>-196500</v>
      </c>
    </row>
    <row r="56">
      <c r="A56" t="n">
        <v>41110000</v>
      </c>
      <c r="B56" s="2" t="n">
        <v>45700</v>
      </c>
      <c r="C56" t="inlineStr">
        <is>
          <t>BQE</t>
        </is>
      </c>
      <c r="D56" t="inlineStr">
        <is>
          <t>BQE0206</t>
        </is>
      </c>
      <c r="E56" t="inlineStr">
        <is>
          <t>VERSMNT ESPECES</t>
        </is>
      </c>
      <c r="F56" t="inlineStr">
        <is>
          <t>G</t>
        </is>
      </c>
      <c r="G56" s="3" t="n">
        <v>0</v>
      </c>
      <c r="H56" s="3" t="n">
        <v>75000</v>
      </c>
      <c r="I56" s="3" t="n">
        <v>-271500</v>
      </c>
    </row>
    <row r="57">
      <c r="A57" t="n">
        <v>41110000</v>
      </c>
      <c r="B57" s="2" t="n">
        <v>45700</v>
      </c>
      <c r="C57" t="inlineStr">
        <is>
          <t>COM</t>
        </is>
      </c>
      <c r="D57" t="inlineStr">
        <is>
          <t>COM0202</t>
        </is>
      </c>
      <c r="E57" t="inlineStr">
        <is>
          <t>COMMISSION FEV</t>
        </is>
      </c>
      <c r="F57" t="inlineStr">
        <is>
          <t>F</t>
        </is>
      </c>
      <c r="G57" s="3" t="n">
        <v>67000</v>
      </c>
      <c r="H57" s="3" t="n">
        <v>0</v>
      </c>
      <c r="I57" s="3" t="n">
        <v>-204500</v>
      </c>
    </row>
    <row r="58">
      <c r="A58" t="n">
        <v>41110000</v>
      </c>
      <c r="B58" s="2" t="n">
        <v>45700</v>
      </c>
      <c r="C58" t="inlineStr">
        <is>
          <t>COM</t>
        </is>
      </c>
      <c r="D58" t="inlineStr">
        <is>
          <t>COM0203</t>
        </is>
      </c>
      <c r="E58" t="inlineStr">
        <is>
          <t>COMMISSION FEV</t>
        </is>
      </c>
      <c r="F58" t="inlineStr">
        <is>
          <t>G</t>
        </is>
      </c>
      <c r="G58" s="3" t="n">
        <v>112000</v>
      </c>
      <c r="H58" s="3" t="n">
        <v>0</v>
      </c>
      <c r="I58" s="3" t="n">
        <v>-92500</v>
      </c>
    </row>
    <row r="59">
      <c r="A59" t="n">
        <v>41110000</v>
      </c>
      <c r="B59" s="2" t="n">
        <v>45700</v>
      </c>
      <c r="C59" t="inlineStr">
        <is>
          <t>COM</t>
        </is>
      </c>
      <c r="D59" t="inlineStr">
        <is>
          <t>COM0204</t>
        </is>
      </c>
      <c r="E59" t="inlineStr">
        <is>
          <t>COMMISSION FEV</t>
        </is>
      </c>
      <c r="F59" t="inlineStr">
        <is>
          <t>G</t>
        </is>
      </c>
      <c r="G59" s="3" t="n">
        <v>17500</v>
      </c>
      <c r="H59" s="3" t="n">
        <v>0</v>
      </c>
      <c r="I59" s="3" t="n">
        <v>-75000</v>
      </c>
    </row>
    <row r="60">
      <c r="A60" t="n">
        <v>41110000</v>
      </c>
      <c r="B60" s="2" t="n">
        <v>45702</v>
      </c>
      <c r="C60" t="inlineStr">
        <is>
          <t>COM</t>
        </is>
      </c>
      <c r="D60" t="inlineStr">
        <is>
          <t>COM0205</t>
        </is>
      </c>
      <c r="E60" t="inlineStr">
        <is>
          <t>COMMISSION FEV</t>
        </is>
      </c>
      <c r="F60" t="inlineStr">
        <is>
          <t>G</t>
        </is>
      </c>
      <c r="G60" s="3" t="n">
        <v>75000</v>
      </c>
      <c r="H60" s="3" t="n">
        <v>0</v>
      </c>
      <c r="I60" s="3" t="n">
        <v/>
      </c>
    </row>
    <row r="61">
      <c r="A61" t="n">
        <v>41110000</v>
      </c>
      <c r="B61" s="2" t="n">
        <v>45705</v>
      </c>
      <c r="C61" t="inlineStr">
        <is>
          <t>BQE</t>
        </is>
      </c>
      <c r="D61" t="inlineStr">
        <is>
          <t>BQE0207</t>
        </is>
      </c>
      <c r="E61" t="inlineStr">
        <is>
          <t>VERSMNT ESPECES</t>
        </is>
      </c>
      <c r="F61" t="inlineStr">
        <is>
          <t>H</t>
        </is>
      </c>
      <c r="G61" s="3" t="n">
        <v>0</v>
      </c>
      <c r="H61" s="3" t="n">
        <v>63000</v>
      </c>
      <c r="I61" s="3" t="n">
        <v>-63000</v>
      </c>
    </row>
    <row r="62">
      <c r="A62" t="n">
        <v>41110000</v>
      </c>
      <c r="B62" s="2" t="n">
        <v>45705</v>
      </c>
      <c r="C62" t="inlineStr">
        <is>
          <t>COM</t>
        </is>
      </c>
      <c r="D62" t="inlineStr">
        <is>
          <t>COM0206</t>
        </is>
      </c>
      <c r="E62" t="inlineStr">
        <is>
          <t>COMMISSION FEV</t>
        </is>
      </c>
      <c r="F62" t="inlineStr">
        <is>
          <t>H</t>
        </is>
      </c>
      <c r="G62" s="3" t="n">
        <v>63000</v>
      </c>
      <c r="H62" s="3" t="n">
        <v>0</v>
      </c>
      <c r="I62" s="3" t="n">
        <v/>
      </c>
    </row>
    <row r="63">
      <c r="A63" t="n">
        <v>41110000</v>
      </c>
      <c r="B63" s="2" t="n">
        <v>45716</v>
      </c>
      <c r="C63" t="inlineStr">
        <is>
          <t>BQE</t>
        </is>
      </c>
      <c r="D63" t="inlineStr">
        <is>
          <t>BQE0208</t>
        </is>
      </c>
      <c r="E63" t="inlineStr">
        <is>
          <t>VERSMNT ESPECES</t>
        </is>
      </c>
      <c r="F63" t="inlineStr">
        <is>
          <t>H</t>
        </is>
      </c>
      <c r="G63" s="3" t="n">
        <v>0</v>
      </c>
      <c r="H63" s="3" t="n">
        <v>28000</v>
      </c>
      <c r="I63" s="3" t="n">
        <v>-28000</v>
      </c>
    </row>
    <row r="64">
      <c r="A64" t="n">
        <v>41110000</v>
      </c>
      <c r="B64" s="2" t="n">
        <v>45716</v>
      </c>
      <c r="C64" t="inlineStr">
        <is>
          <t>BQE</t>
        </is>
      </c>
      <c r="D64" t="inlineStr">
        <is>
          <t>BQE0209</t>
        </is>
      </c>
      <c r="E64" t="inlineStr">
        <is>
          <t>VERSMNT ESPECES</t>
        </is>
      </c>
      <c r="F64" t="inlineStr">
        <is>
          <t>O</t>
        </is>
      </c>
      <c r="G64" s="3" t="n">
        <v>0</v>
      </c>
      <c r="H64" s="3" t="n">
        <v>43750</v>
      </c>
      <c r="I64" s="3" t="n">
        <v>-71750</v>
      </c>
    </row>
    <row r="65">
      <c r="A65" t="n">
        <v>41110000</v>
      </c>
      <c r="B65" s="2" t="n">
        <v>45716</v>
      </c>
      <c r="C65" t="inlineStr">
        <is>
          <t>COM</t>
        </is>
      </c>
      <c r="D65" t="inlineStr">
        <is>
          <t>COM0207</t>
        </is>
      </c>
      <c r="E65" t="inlineStr">
        <is>
          <t>COMMISSION FEV</t>
        </is>
      </c>
      <c r="F65" t="inlineStr">
        <is>
          <t>H</t>
        </is>
      </c>
      <c r="G65" s="3" t="n">
        <v>28000</v>
      </c>
      <c r="H65" s="3" t="n">
        <v>0</v>
      </c>
      <c r="I65" s="3" t="n">
        <v>-43750</v>
      </c>
    </row>
    <row r="66">
      <c r="A66" t="n">
        <v>41110000</v>
      </c>
      <c r="B66" s="2" t="n">
        <v>45716</v>
      </c>
      <c r="C66" t="inlineStr">
        <is>
          <t>COM</t>
        </is>
      </c>
      <c r="D66" t="inlineStr">
        <is>
          <t>COM0208</t>
        </is>
      </c>
      <c r="E66" t="inlineStr">
        <is>
          <t>COMMISSION FEV</t>
        </is>
      </c>
      <c r="F66" t="inlineStr">
        <is>
          <t>O</t>
        </is>
      </c>
      <c r="G66" s="3" t="n">
        <v>43750</v>
      </c>
      <c r="H66" s="3" t="n">
        <v>0</v>
      </c>
      <c r="I66" s="3" t="n">
        <v/>
      </c>
    </row>
    <row r="67">
      <c r="A67" t="n">
        <v>41110000</v>
      </c>
      <c r="B67" s="2" t="n">
        <v>45722</v>
      </c>
      <c r="C67" t="inlineStr">
        <is>
          <t>BQE</t>
        </is>
      </c>
      <c r="D67" t="inlineStr">
        <is>
          <t>BQE02012</t>
        </is>
      </c>
      <c r="E67" t="inlineStr">
        <is>
          <t>VERSEMNT ESPECES</t>
        </is>
      </c>
      <c r="F67" t="inlineStr">
        <is>
          <t>H</t>
        </is>
      </c>
      <c r="G67" s="3" t="n">
        <v>0</v>
      </c>
      <c r="H67" s="3" t="n">
        <v>41650</v>
      </c>
      <c r="I67" s="3" t="n">
        <v>-41650</v>
      </c>
    </row>
    <row r="68">
      <c r="A68" t="n">
        <v>41110000</v>
      </c>
      <c r="B68" s="2" t="n">
        <v>45722</v>
      </c>
      <c r="C68" t="inlineStr">
        <is>
          <t>COM</t>
        </is>
      </c>
      <c r="D68" t="inlineStr">
        <is>
          <t>COM03001</t>
        </is>
      </c>
      <c r="E68" t="inlineStr">
        <is>
          <t>VERSEMNT ESPECES</t>
        </is>
      </c>
      <c r="F68" t="inlineStr">
        <is>
          <t>H</t>
        </is>
      </c>
      <c r="G68" s="3" t="n">
        <v>41650</v>
      </c>
      <c r="H68" s="3" t="n">
        <v>0</v>
      </c>
      <c r="I68" s="3" t="n">
        <v/>
      </c>
    </row>
    <row r="69">
      <c r="A69" t="n">
        <v>41110000</v>
      </c>
      <c r="B69" s="2" t="n">
        <v>45726</v>
      </c>
      <c r="C69" t="inlineStr">
        <is>
          <t>BQE</t>
        </is>
      </c>
      <c r="D69" t="inlineStr">
        <is>
          <t>BQE02015</t>
        </is>
      </c>
      <c r="E69" t="inlineStr">
        <is>
          <t>VERSMT ESPECES</t>
        </is>
      </c>
      <c r="F69" t="inlineStr">
        <is>
          <t>I</t>
        </is>
      </c>
      <c r="G69" s="3" t="n">
        <v>0</v>
      </c>
      <c r="H69" s="3" t="n">
        <v>17500</v>
      </c>
      <c r="I69" s="3" t="n">
        <v>-17500</v>
      </c>
    </row>
    <row r="70">
      <c r="A70" t="n">
        <v>41110000</v>
      </c>
      <c r="B70" s="2" t="n">
        <v>45726</v>
      </c>
      <c r="C70" t="inlineStr">
        <is>
          <t>BQE</t>
        </is>
      </c>
      <c r="D70" t="inlineStr">
        <is>
          <t>BQE02016</t>
        </is>
      </c>
      <c r="E70" t="inlineStr">
        <is>
          <t>VERSMT ESPECES</t>
        </is>
      </c>
      <c r="F70" t="inlineStr">
        <is>
          <t>I</t>
        </is>
      </c>
      <c r="G70" s="3" t="n">
        <v>0</v>
      </c>
      <c r="H70" s="3" t="n">
        <v>70000</v>
      </c>
      <c r="I70" s="3" t="n">
        <v>-87500</v>
      </c>
    </row>
    <row r="71">
      <c r="A71" t="n">
        <v>41110000</v>
      </c>
      <c r="B71" s="2" t="n">
        <v>45726</v>
      </c>
      <c r="C71" t="inlineStr">
        <is>
          <t>COM</t>
        </is>
      </c>
      <c r="D71" t="inlineStr">
        <is>
          <t>COM03003</t>
        </is>
      </c>
      <c r="E71" t="inlineStr">
        <is>
          <t>VERSMT ESPECES</t>
        </is>
      </c>
      <c r="F71" t="inlineStr">
        <is>
          <t>I</t>
        </is>
      </c>
      <c r="G71" s="3" t="n">
        <v>17500</v>
      </c>
      <c r="H71" s="3" t="n">
        <v>0</v>
      </c>
      <c r="I71" s="3" t="n">
        <v>-70000</v>
      </c>
    </row>
    <row r="72">
      <c r="A72" t="n">
        <v>41110000</v>
      </c>
      <c r="B72" s="2" t="n">
        <v>45726</v>
      </c>
      <c r="C72" t="inlineStr">
        <is>
          <t>COM</t>
        </is>
      </c>
      <c r="D72" t="inlineStr">
        <is>
          <t>COM03004</t>
        </is>
      </c>
      <c r="E72" t="inlineStr">
        <is>
          <t>VERSMT ESPECES</t>
        </is>
      </c>
      <c r="F72" t="inlineStr">
        <is>
          <t>I</t>
        </is>
      </c>
      <c r="G72" s="3" t="n">
        <v>70000</v>
      </c>
      <c r="H72" s="3" t="n">
        <v>0</v>
      </c>
      <c r="I72" s="3" t="n">
        <v/>
      </c>
    </row>
    <row r="73">
      <c r="A73" t="n">
        <v>41110000</v>
      </c>
      <c r="B73" s="2" t="n">
        <v>45727</v>
      </c>
      <c r="C73" t="inlineStr">
        <is>
          <t>BQE</t>
        </is>
      </c>
      <c r="D73" t="inlineStr">
        <is>
          <t>BQE02017</t>
        </is>
      </c>
      <c r="E73" t="inlineStr">
        <is>
          <t>VERSMT ESPECES</t>
        </is>
      </c>
      <c r="F73" t="inlineStr">
        <is>
          <t>J</t>
        </is>
      </c>
      <c r="G73" s="3" t="n">
        <v>0</v>
      </c>
      <c r="H73" s="3" t="n">
        <v>112000</v>
      </c>
      <c r="I73" s="3" t="n">
        <v>-112000</v>
      </c>
    </row>
    <row r="74">
      <c r="A74" t="n">
        <v>41110000</v>
      </c>
      <c r="B74" s="2" t="n">
        <v>45727</v>
      </c>
      <c r="C74" t="inlineStr">
        <is>
          <t>BQE</t>
        </is>
      </c>
      <c r="D74" t="inlineStr">
        <is>
          <t>BQE02018</t>
        </is>
      </c>
      <c r="E74" t="inlineStr">
        <is>
          <t>VERSMT ESPECES</t>
        </is>
      </c>
      <c r="F74" t="inlineStr">
        <is>
          <t>J</t>
        </is>
      </c>
      <c r="G74" s="3" t="n">
        <v>0</v>
      </c>
      <c r="H74" s="3" t="n">
        <v>35700</v>
      </c>
      <c r="I74" s="3" t="n">
        <v>-147700</v>
      </c>
    </row>
    <row r="75">
      <c r="A75" t="n">
        <v>41110000</v>
      </c>
      <c r="B75" s="2" t="n">
        <v>45727</v>
      </c>
      <c r="C75" t="inlineStr">
        <is>
          <t>BQE</t>
        </is>
      </c>
      <c r="D75" t="inlineStr">
        <is>
          <t>BQE02020</t>
        </is>
      </c>
      <c r="E75" t="inlineStr">
        <is>
          <t>VERSMT ESPECES</t>
        </is>
      </c>
      <c r="F75" t="inlineStr">
        <is>
          <t>S</t>
        </is>
      </c>
      <c r="G75" s="3" t="n">
        <v>0</v>
      </c>
      <c r="H75" s="3" t="n">
        <v>67000</v>
      </c>
      <c r="I75" s="3" t="n">
        <v>-214700</v>
      </c>
    </row>
    <row r="76">
      <c r="A76" t="n">
        <v>41110000</v>
      </c>
      <c r="B76" s="2" t="n">
        <v>45727</v>
      </c>
      <c r="C76" t="inlineStr">
        <is>
          <t>COM</t>
        </is>
      </c>
      <c r="D76" t="inlineStr">
        <is>
          <t>COM03005</t>
        </is>
      </c>
      <c r="E76" t="inlineStr">
        <is>
          <t>VERSMT ESPECES</t>
        </is>
      </c>
      <c r="F76" t="inlineStr">
        <is>
          <t>J</t>
        </is>
      </c>
      <c r="G76" s="3" t="n">
        <v>112000</v>
      </c>
      <c r="H76" s="3" t="n">
        <v>0</v>
      </c>
      <c r="I76" s="3" t="n">
        <v>-102700</v>
      </c>
    </row>
    <row r="77">
      <c r="A77" t="n">
        <v>41110000</v>
      </c>
      <c r="B77" s="2" t="n">
        <v>45727</v>
      </c>
      <c r="C77" t="inlineStr">
        <is>
          <t>COM</t>
        </is>
      </c>
      <c r="D77" t="inlineStr">
        <is>
          <t>COM03006</t>
        </is>
      </c>
      <c r="E77" t="inlineStr">
        <is>
          <t>VERSMT ESPECES</t>
        </is>
      </c>
      <c r="F77" t="inlineStr">
        <is>
          <t>J</t>
        </is>
      </c>
      <c r="G77" s="3" t="n">
        <v>35700</v>
      </c>
      <c r="H77" s="3" t="n">
        <v>0</v>
      </c>
      <c r="I77" s="3" t="n">
        <v>-67000</v>
      </c>
    </row>
    <row r="78">
      <c r="A78" t="n">
        <v>41110000</v>
      </c>
      <c r="B78" s="2" t="n">
        <v>45727</v>
      </c>
      <c r="C78" t="inlineStr">
        <is>
          <t>COM</t>
        </is>
      </c>
      <c r="D78" t="inlineStr">
        <is>
          <t>COM03008</t>
        </is>
      </c>
      <c r="E78" t="inlineStr">
        <is>
          <t>VERSMT ESPECES</t>
        </is>
      </c>
      <c r="F78" t="inlineStr">
        <is>
          <t>S</t>
        </is>
      </c>
      <c r="G78" s="3" t="n">
        <v>67000</v>
      </c>
      <c r="H78" s="3" t="n">
        <v>0</v>
      </c>
      <c r="I78" s="3" t="n">
        <v/>
      </c>
    </row>
    <row r="79">
      <c r="A79" t="n">
        <v>41110000</v>
      </c>
      <c r="B79" s="2" t="n">
        <v>45728</v>
      </c>
      <c r="C79" t="inlineStr">
        <is>
          <t>BQE</t>
        </is>
      </c>
      <c r="D79" t="inlineStr">
        <is>
          <t>BQE02021</t>
        </is>
      </c>
      <c r="E79" t="inlineStr">
        <is>
          <t>VERSMT ESPECES</t>
        </is>
      </c>
      <c r="F79" t="inlineStr">
        <is>
          <t>R</t>
        </is>
      </c>
      <c r="G79" s="3" t="n">
        <v>0</v>
      </c>
      <c r="H79" s="3" t="n">
        <v>75000</v>
      </c>
      <c r="I79" s="3" t="n">
        <v>-75000</v>
      </c>
    </row>
    <row r="80">
      <c r="A80" t="n">
        <v>41110000</v>
      </c>
      <c r="B80" s="2" t="n">
        <v>45728</v>
      </c>
      <c r="C80" t="inlineStr">
        <is>
          <t>BQE</t>
        </is>
      </c>
      <c r="D80" t="inlineStr">
        <is>
          <t>BQE02022</t>
        </is>
      </c>
      <c r="E80" t="inlineStr">
        <is>
          <t>REMISE CHQ</t>
        </is>
      </c>
      <c r="F80" t="inlineStr">
        <is>
          <t>AG</t>
        </is>
      </c>
      <c r="G80" s="3" t="n">
        <v>0</v>
      </c>
      <c r="H80" s="3" t="n">
        <v>295500</v>
      </c>
      <c r="I80" s="3" t="n">
        <v>-370500</v>
      </c>
    </row>
    <row r="81">
      <c r="A81" t="n">
        <v>41110000</v>
      </c>
      <c r="B81" s="2" t="n">
        <v>45728</v>
      </c>
      <c r="C81" t="inlineStr">
        <is>
          <t>COM</t>
        </is>
      </c>
      <c r="D81" t="inlineStr">
        <is>
          <t>COM03009</t>
        </is>
      </c>
      <c r="E81" t="inlineStr">
        <is>
          <t>VERSMT ESPECES</t>
        </is>
      </c>
      <c r="F81" t="inlineStr">
        <is>
          <t>R</t>
        </is>
      </c>
      <c r="G81" s="3" t="n">
        <v>75000</v>
      </c>
      <c r="H81" s="3" t="n">
        <v>0</v>
      </c>
      <c r="I81" s="3" t="n">
        <v>-295500</v>
      </c>
    </row>
    <row r="82">
      <c r="A82" t="n">
        <v>41110000</v>
      </c>
      <c r="B82" s="2" t="n">
        <v>45728</v>
      </c>
      <c r="C82" t="inlineStr">
        <is>
          <t>COM</t>
        </is>
      </c>
      <c r="D82" t="inlineStr">
        <is>
          <t>COM03010</t>
        </is>
      </c>
      <c r="E82" t="inlineStr">
        <is>
          <t>REMISE CHQ</t>
        </is>
      </c>
      <c r="F82" t="inlineStr">
        <is>
          <t>AG</t>
        </is>
      </c>
      <c r="G82" s="3" t="n">
        <v>295500</v>
      </c>
      <c r="H82" s="3" t="n">
        <v>0</v>
      </c>
      <c r="I82" s="3" t="n">
        <v/>
      </c>
    </row>
    <row r="83">
      <c r="A83" t="n">
        <v>41110000</v>
      </c>
      <c r="B83" s="2" t="n">
        <v>45734</v>
      </c>
      <c r="C83" t="inlineStr">
        <is>
          <t>BQE</t>
        </is>
      </c>
      <c r="D83" t="inlineStr">
        <is>
          <t>BQE02026</t>
        </is>
      </c>
      <c r="E83" t="inlineStr">
        <is>
          <t>VERSEMNT ESPECES</t>
        </is>
      </c>
      <c r="F83" t="inlineStr">
        <is>
          <t>M</t>
        </is>
      </c>
      <c r="G83" s="3" t="n">
        <v>0</v>
      </c>
      <c r="H83" s="3" t="n">
        <v>63000</v>
      </c>
      <c r="I83" s="3" t="n">
        <v>-63000</v>
      </c>
    </row>
    <row r="84">
      <c r="A84" t="n">
        <v>41110000</v>
      </c>
      <c r="B84" s="2" t="n">
        <v>45734</v>
      </c>
      <c r="C84" t="inlineStr">
        <is>
          <t>COM</t>
        </is>
      </c>
      <c r="D84" t="inlineStr">
        <is>
          <t>COM03011</t>
        </is>
      </c>
      <c r="E84" t="inlineStr">
        <is>
          <t>VERSEMNT ESPECES</t>
        </is>
      </c>
      <c r="F84" t="inlineStr">
        <is>
          <t>M</t>
        </is>
      </c>
      <c r="G84" s="3" t="n">
        <v>63000</v>
      </c>
      <c r="H84" s="3" t="n">
        <v>0</v>
      </c>
      <c r="I84" s="3" t="n">
        <v/>
      </c>
    </row>
    <row r="85">
      <c r="A85" t="n">
        <v>41110000</v>
      </c>
      <c r="B85" s="2" t="n">
        <v>45742</v>
      </c>
      <c r="C85" t="inlineStr">
        <is>
          <t>BQE</t>
        </is>
      </c>
      <c r="D85" t="inlineStr">
        <is>
          <t>BQE02027</t>
        </is>
      </c>
      <c r="E85" t="inlineStr">
        <is>
          <t>VERSEMNT ESPECES</t>
        </is>
      </c>
      <c r="F85" t="inlineStr">
        <is>
          <t>M</t>
        </is>
      </c>
      <c r="G85" s="3" t="n">
        <v>0</v>
      </c>
      <c r="H85" s="3" t="n">
        <v>56350</v>
      </c>
      <c r="I85" s="3" t="n">
        <v>-56350</v>
      </c>
    </row>
    <row r="86">
      <c r="A86" t="n">
        <v>41110000</v>
      </c>
      <c r="B86" s="2" t="n">
        <v>45742</v>
      </c>
      <c r="C86" t="inlineStr">
        <is>
          <t>COM</t>
        </is>
      </c>
      <c r="D86" t="inlineStr">
        <is>
          <t>COM03012</t>
        </is>
      </c>
      <c r="E86" t="inlineStr">
        <is>
          <t>VERSEMNT ESPECES</t>
        </is>
      </c>
      <c r="F86" t="inlineStr">
        <is>
          <t>M</t>
        </is>
      </c>
      <c r="G86" s="3" t="n">
        <v>56350</v>
      </c>
      <c r="H86" s="3" t="n">
        <v>0</v>
      </c>
      <c r="I86" s="3" t="n">
        <v/>
      </c>
    </row>
    <row r="87">
      <c r="A87" t="n">
        <v>41110000</v>
      </c>
      <c r="B87" s="2" t="n">
        <v>45755</v>
      </c>
      <c r="C87" t="inlineStr">
        <is>
          <t>BQE</t>
        </is>
      </c>
      <c r="D87" t="inlineStr">
        <is>
          <t>BQE0401</t>
        </is>
      </c>
      <c r="E87" t="inlineStr">
        <is>
          <t>VERSEMENT ESPECES</t>
        </is>
      </c>
      <c r="F87" t="inlineStr">
        <is>
          <t>P</t>
        </is>
      </c>
      <c r="G87" s="3" t="n">
        <v>0</v>
      </c>
      <c r="H87" s="3" t="n">
        <v>70000</v>
      </c>
      <c r="I87" s="3" t="n">
        <v>-70000</v>
      </c>
    </row>
    <row r="88">
      <c r="A88" t="n">
        <v>41110000</v>
      </c>
      <c r="B88" s="2" t="n">
        <v>45755</v>
      </c>
      <c r="C88" t="inlineStr">
        <is>
          <t>COM</t>
        </is>
      </c>
      <c r="D88" t="inlineStr">
        <is>
          <t>COM0401</t>
        </is>
      </c>
      <c r="E88" t="inlineStr">
        <is>
          <t>LOYER 04</t>
        </is>
      </c>
      <c r="F88" t="inlineStr">
        <is>
          <t>P</t>
        </is>
      </c>
      <c r="G88" s="3" t="n">
        <v>70000</v>
      </c>
      <c r="H88" s="3" t="n">
        <v>0</v>
      </c>
      <c r="I88" s="3" t="n">
        <v/>
      </c>
    </row>
    <row r="89">
      <c r="A89" t="n">
        <v>41110000</v>
      </c>
      <c r="B89" s="2" t="n">
        <v>45761</v>
      </c>
      <c r="C89" t="inlineStr">
        <is>
          <t>BQE</t>
        </is>
      </c>
      <c r="D89" t="inlineStr">
        <is>
          <t>BQE0402</t>
        </is>
      </c>
      <c r="E89" t="inlineStr">
        <is>
          <t>VERSEMENT ESPECES</t>
        </is>
      </c>
      <c r="F89" t="inlineStr">
        <is>
          <t>P</t>
        </is>
      </c>
      <c r="G89" s="3" t="n">
        <v>0</v>
      </c>
      <c r="H89" s="3" t="n">
        <v>35700</v>
      </c>
      <c r="I89" s="3" t="n">
        <v>-35700</v>
      </c>
    </row>
    <row r="90">
      <c r="A90" t="n">
        <v>41110000</v>
      </c>
      <c r="B90" s="2" t="n">
        <v>45761</v>
      </c>
      <c r="C90" t="inlineStr">
        <is>
          <t>BQE</t>
        </is>
      </c>
      <c r="D90" t="inlineStr">
        <is>
          <t>BQE0403</t>
        </is>
      </c>
      <c r="E90" t="inlineStr">
        <is>
          <t>VERSEMENT ESPECES</t>
        </is>
      </c>
      <c r="F90" t="inlineStr">
        <is>
          <t>P</t>
        </is>
      </c>
      <c r="G90" s="3" t="n">
        <v>0</v>
      </c>
      <c r="H90" s="3" t="n">
        <v>48650</v>
      </c>
      <c r="I90" s="3" t="n">
        <v>-84350</v>
      </c>
    </row>
    <row r="91">
      <c r="A91" t="n">
        <v>41110000</v>
      </c>
      <c r="B91" s="2" t="n">
        <v>45761</v>
      </c>
      <c r="C91" t="inlineStr">
        <is>
          <t>BQE</t>
        </is>
      </c>
      <c r="D91" t="inlineStr">
        <is>
          <t>BQE0404</t>
        </is>
      </c>
      <c r="E91" t="inlineStr">
        <is>
          <t>VERSEMENT ESPECES</t>
        </is>
      </c>
      <c r="F91" t="inlineStr">
        <is>
          <t>P</t>
        </is>
      </c>
      <c r="G91" s="3" t="n">
        <v>0</v>
      </c>
      <c r="H91" s="3" t="n">
        <v>75000</v>
      </c>
      <c r="I91" s="3" t="n">
        <v>-159350</v>
      </c>
    </row>
    <row r="92">
      <c r="A92" t="n">
        <v>41110000</v>
      </c>
      <c r="B92" s="2" t="n">
        <v>45761</v>
      </c>
      <c r="C92" t="inlineStr">
        <is>
          <t>BQE</t>
        </is>
      </c>
      <c r="D92" t="inlineStr">
        <is>
          <t>BQE0405</t>
        </is>
      </c>
      <c r="E92" t="inlineStr">
        <is>
          <t>VERSEMENT ESPECES</t>
        </is>
      </c>
      <c r="F92" t="inlineStr">
        <is>
          <t>P</t>
        </is>
      </c>
      <c r="G92" s="3" t="n">
        <v>0</v>
      </c>
      <c r="H92" s="3" t="n">
        <v>70000</v>
      </c>
      <c r="I92" s="3" t="n">
        <v>-229350</v>
      </c>
    </row>
    <row r="93">
      <c r="A93" t="n">
        <v>41110000</v>
      </c>
      <c r="B93" s="2" t="n">
        <v>45761</v>
      </c>
      <c r="C93" t="inlineStr">
        <is>
          <t>BQE</t>
        </is>
      </c>
      <c r="D93" t="inlineStr">
        <is>
          <t>BQE0407</t>
        </is>
      </c>
      <c r="E93" t="inlineStr">
        <is>
          <t>VERSEMENT ESPECES</t>
        </is>
      </c>
      <c r="F93" t="inlineStr">
        <is>
          <t>P</t>
        </is>
      </c>
      <c r="G93" s="3" t="n">
        <v>0</v>
      </c>
      <c r="H93" s="3" t="n">
        <v>67000</v>
      </c>
      <c r="I93" s="3" t="n">
        <v>-296350</v>
      </c>
    </row>
    <row r="94">
      <c r="A94" t="n">
        <v>41110000</v>
      </c>
      <c r="B94" s="2" t="n">
        <v>45761</v>
      </c>
      <c r="C94" t="inlineStr">
        <is>
          <t>COM</t>
        </is>
      </c>
      <c r="D94" t="inlineStr">
        <is>
          <t>COM04001</t>
        </is>
      </c>
      <c r="E94" t="inlineStr">
        <is>
          <t>VERSEMENT ESPECES</t>
        </is>
      </c>
      <c r="F94" t="inlineStr">
        <is>
          <t>P</t>
        </is>
      </c>
      <c r="G94" s="3" t="n">
        <v>35700</v>
      </c>
      <c r="H94" s="3" t="n">
        <v>0</v>
      </c>
      <c r="I94" s="3" t="n">
        <v>-260650</v>
      </c>
    </row>
    <row r="95">
      <c r="A95" t="n">
        <v>41110000</v>
      </c>
      <c r="B95" s="2" t="n">
        <v>45761</v>
      </c>
      <c r="C95" t="inlineStr">
        <is>
          <t>COM</t>
        </is>
      </c>
      <c r="D95" t="inlineStr">
        <is>
          <t>COM04002</t>
        </is>
      </c>
      <c r="E95" t="inlineStr">
        <is>
          <t>VERSEMENT ESPECES</t>
        </is>
      </c>
      <c r="F95" t="inlineStr">
        <is>
          <t>P</t>
        </is>
      </c>
      <c r="G95" s="3" t="n">
        <v>48650</v>
      </c>
      <c r="H95" s="3" t="n">
        <v>0</v>
      </c>
      <c r="I95" s="3" t="n">
        <v>-212000</v>
      </c>
    </row>
    <row r="96">
      <c r="A96" t="n">
        <v>41110000</v>
      </c>
      <c r="B96" s="2" t="n">
        <v>45761</v>
      </c>
      <c r="C96" t="inlineStr">
        <is>
          <t>COM</t>
        </is>
      </c>
      <c r="D96" t="inlineStr">
        <is>
          <t>COM04003</t>
        </is>
      </c>
      <c r="E96" t="inlineStr">
        <is>
          <t>VERSEMENT ESPECES</t>
        </is>
      </c>
      <c r="F96" t="inlineStr">
        <is>
          <t>P</t>
        </is>
      </c>
      <c r="G96" s="3" t="n">
        <v>75000</v>
      </c>
      <c r="H96" s="3" t="n">
        <v>0</v>
      </c>
      <c r="I96" s="3" t="n">
        <v>-137000</v>
      </c>
    </row>
    <row r="97">
      <c r="A97" t="n">
        <v>41110000</v>
      </c>
      <c r="B97" s="2" t="n">
        <v>45761</v>
      </c>
      <c r="C97" t="inlineStr">
        <is>
          <t>COM</t>
        </is>
      </c>
      <c r="D97" t="inlineStr">
        <is>
          <t>COM04004</t>
        </is>
      </c>
      <c r="E97" t="inlineStr">
        <is>
          <t>VERSEMENT ESPECES</t>
        </is>
      </c>
      <c r="F97" t="inlineStr">
        <is>
          <t>P</t>
        </is>
      </c>
      <c r="G97" s="3" t="n">
        <v>70000</v>
      </c>
      <c r="H97" s="3" t="n">
        <v>0</v>
      </c>
      <c r="I97" s="3" t="n">
        <v>-67000</v>
      </c>
    </row>
    <row r="98">
      <c r="A98" t="n">
        <v>41110000</v>
      </c>
      <c r="B98" s="2" t="n">
        <v>45761</v>
      </c>
      <c r="C98" t="inlineStr">
        <is>
          <t>COM</t>
        </is>
      </c>
      <c r="D98" t="inlineStr">
        <is>
          <t>COM04005</t>
        </is>
      </c>
      <c r="E98" t="inlineStr">
        <is>
          <t>VERSEMENT ESPECES</t>
        </is>
      </c>
      <c r="F98" t="inlineStr">
        <is>
          <t>P</t>
        </is>
      </c>
      <c r="G98" s="3" t="n">
        <v>67000</v>
      </c>
      <c r="H98" s="3" t="n">
        <v>0</v>
      </c>
      <c r="I98" s="3" t="n">
        <v/>
      </c>
    </row>
    <row r="99">
      <c r="A99" t="n">
        <v>41110000</v>
      </c>
      <c r="B99" s="2" t="n">
        <v>45762</v>
      </c>
      <c r="C99" t="inlineStr">
        <is>
          <t>BQE</t>
        </is>
      </c>
      <c r="D99" t="inlineStr">
        <is>
          <t>BQE408</t>
        </is>
      </c>
      <c r="E99" t="inlineStr">
        <is>
          <t>VIR RECU JOVITE CLAUDE</t>
        </is>
      </c>
      <c r="F99" t="inlineStr">
        <is>
          <t>AF</t>
        </is>
      </c>
      <c r="G99" s="3" t="n">
        <v>0</v>
      </c>
      <c r="H99" s="3" t="n">
        <v>69300</v>
      </c>
      <c r="I99" s="3" t="n">
        <v>-69300</v>
      </c>
    </row>
    <row r="100">
      <c r="A100" t="n">
        <v>41110000</v>
      </c>
      <c r="B100" s="2" t="n">
        <v>45762</v>
      </c>
      <c r="C100" t="inlineStr">
        <is>
          <t>BQE</t>
        </is>
      </c>
      <c r="D100" t="inlineStr">
        <is>
          <t>BQE0408</t>
        </is>
      </c>
      <c r="E100" t="inlineStr">
        <is>
          <t>VERSEMENT ESPECES</t>
        </is>
      </c>
      <c r="F100" t="inlineStr">
        <is>
          <t>Q</t>
        </is>
      </c>
      <c r="G100" s="3" t="n">
        <v>0</v>
      </c>
      <c r="H100" s="3" t="n">
        <v>63000</v>
      </c>
      <c r="I100" s="3" t="n">
        <v>-132300</v>
      </c>
    </row>
    <row r="101">
      <c r="A101" t="n">
        <v>41110000</v>
      </c>
      <c r="B101" s="2" t="n">
        <v>45762</v>
      </c>
      <c r="C101" t="inlineStr">
        <is>
          <t>COM</t>
        </is>
      </c>
      <c r="D101" t="inlineStr">
        <is>
          <t>COM04006</t>
        </is>
      </c>
      <c r="E101" t="inlineStr">
        <is>
          <t>VERSEMENT ESPECES</t>
        </is>
      </c>
      <c r="F101" t="inlineStr">
        <is>
          <t>Q</t>
        </is>
      </c>
      <c r="G101" s="3" t="n">
        <v>63000</v>
      </c>
      <c r="H101" s="3" t="n">
        <v>0</v>
      </c>
      <c r="I101" s="3" t="n">
        <v>-69300</v>
      </c>
    </row>
    <row r="102">
      <c r="A102" t="n">
        <v>41110000</v>
      </c>
      <c r="B102" s="2" t="n">
        <v>45763</v>
      </c>
      <c r="C102" t="inlineStr">
        <is>
          <t>BQE</t>
        </is>
      </c>
      <c r="D102" t="inlineStr">
        <is>
          <t>BQE0409</t>
        </is>
      </c>
      <c r="E102" t="inlineStr">
        <is>
          <t>VERSEMENT ESPECES</t>
        </is>
      </c>
      <c r="F102" t="inlineStr">
        <is>
          <t>Q</t>
        </is>
      </c>
      <c r="G102" s="3" t="n">
        <v>0</v>
      </c>
      <c r="H102" s="3" t="n">
        <v>17500</v>
      </c>
      <c r="I102" s="3" t="n">
        <v>-86800</v>
      </c>
    </row>
    <row r="103">
      <c r="A103" t="n">
        <v>41110000</v>
      </c>
      <c r="B103" s="2" t="n">
        <v>45763</v>
      </c>
      <c r="C103" t="inlineStr">
        <is>
          <t>COM</t>
        </is>
      </c>
      <c r="D103" t="inlineStr">
        <is>
          <t>COM04007</t>
        </is>
      </c>
      <c r="E103" t="inlineStr">
        <is>
          <t>VERSEMENT ESPECES</t>
        </is>
      </c>
      <c r="F103" t="inlineStr">
        <is>
          <t>Q</t>
        </is>
      </c>
      <c r="G103" s="3" t="n">
        <v>17500</v>
      </c>
      <c r="H103" s="3" t="n">
        <v>0</v>
      </c>
      <c r="I103" s="3" t="n">
        <v>-69300</v>
      </c>
    </row>
    <row r="104">
      <c r="A104" t="n">
        <v>41110000</v>
      </c>
      <c r="B104" s="2" t="n">
        <v>45769</v>
      </c>
      <c r="C104" t="inlineStr">
        <is>
          <t>BQE</t>
        </is>
      </c>
      <c r="D104" t="inlineStr">
        <is>
          <t>BQE0412</t>
        </is>
      </c>
      <c r="E104" t="inlineStr">
        <is>
          <t>VERSMENT ESPECES</t>
        </is>
      </c>
      <c r="F104" t="inlineStr">
        <is>
          <t>Q</t>
        </is>
      </c>
      <c r="G104" s="3" t="n">
        <v>0</v>
      </c>
      <c r="H104" s="3" t="n">
        <v>50050</v>
      </c>
      <c r="I104" s="3" t="n">
        <v>-119350</v>
      </c>
    </row>
    <row r="105">
      <c r="A105" t="n">
        <v>41110000</v>
      </c>
      <c r="B105" s="2" t="n">
        <v>45769</v>
      </c>
      <c r="C105" t="inlineStr">
        <is>
          <t>COM</t>
        </is>
      </c>
      <c r="D105" t="inlineStr">
        <is>
          <t>COM04008</t>
        </is>
      </c>
      <c r="E105" t="inlineStr">
        <is>
          <t>VERSMENT ESPECES</t>
        </is>
      </c>
      <c r="F105" t="inlineStr">
        <is>
          <t>Q</t>
        </is>
      </c>
      <c r="G105" s="3" t="n">
        <v>50050</v>
      </c>
      <c r="H105" s="3" t="n">
        <v>0</v>
      </c>
      <c r="I105" s="3" t="n">
        <v>-69300</v>
      </c>
    </row>
    <row r="106">
      <c r="A106" t="n">
        <v>41110000</v>
      </c>
      <c r="B106" s="2" t="n">
        <v>45776</v>
      </c>
      <c r="C106" t="inlineStr">
        <is>
          <t>BQE</t>
        </is>
      </c>
      <c r="D106" t="inlineStr">
        <is>
          <t>BQE0413</t>
        </is>
      </c>
      <c r="E106" t="inlineStr">
        <is>
          <t>VERSMENT ESPECES</t>
        </is>
      </c>
      <c r="F106" t="inlineStr">
        <is>
          <t>Q</t>
        </is>
      </c>
      <c r="G106" s="3" t="n">
        <v>0</v>
      </c>
      <c r="H106" s="3" t="n">
        <v>28000</v>
      </c>
      <c r="I106" s="3" t="n">
        <v>-97300</v>
      </c>
    </row>
    <row r="107">
      <c r="A107" t="n">
        <v>41110000</v>
      </c>
      <c r="B107" s="2" t="n">
        <v>45776</v>
      </c>
      <c r="C107" t="inlineStr">
        <is>
          <t>COM</t>
        </is>
      </c>
      <c r="D107" t="inlineStr">
        <is>
          <t>COM04009</t>
        </is>
      </c>
      <c r="E107" t="inlineStr">
        <is>
          <t>VERSMENT ESPECES</t>
        </is>
      </c>
      <c r="F107" t="inlineStr">
        <is>
          <t>Q</t>
        </is>
      </c>
      <c r="G107" s="3" t="n">
        <v>28000</v>
      </c>
      <c r="H107" s="3" t="n">
        <v>0</v>
      </c>
      <c r="I107" s="3" t="n">
        <v>-69300</v>
      </c>
    </row>
    <row r="108">
      <c r="A108" t="n">
        <v>41110000</v>
      </c>
      <c r="B108" s="2" t="n">
        <v>45776</v>
      </c>
      <c r="C108" t="inlineStr">
        <is>
          <t>COM</t>
        </is>
      </c>
      <c r="D108" t="inlineStr">
        <is>
          <t>COM04009</t>
        </is>
      </c>
      <c r="E108" t="inlineStr">
        <is>
          <t>FACTURATION LOYER AVR 2025</t>
        </is>
      </c>
      <c r="F108" t="inlineStr">
        <is>
          <t>AF</t>
        </is>
      </c>
      <c r="G108" s="3" t="n">
        <v>69300</v>
      </c>
      <c r="H108" s="3" t="n">
        <v>0</v>
      </c>
      <c r="I108" s="3" t="n">
        <v/>
      </c>
    </row>
    <row r="109">
      <c r="A109" t="n">
        <v>41110000</v>
      </c>
      <c r="B109" s="2" t="n">
        <v>45818</v>
      </c>
      <c r="C109" t="inlineStr">
        <is>
          <t>BQE</t>
        </is>
      </c>
      <c r="D109" t="inlineStr">
        <is>
          <t>BQE06002</t>
        </is>
      </c>
      <c r="E109" t="inlineStr">
        <is>
          <t>VERSEMENT ESPECE OKOUDIE C</t>
        </is>
      </c>
      <c r="F109" t="inlineStr">
        <is>
          <t>R</t>
        </is>
      </c>
      <c r="G109" s="3" t="n">
        <v>0</v>
      </c>
      <c r="H109" s="3" t="n">
        <v>43400</v>
      </c>
      <c r="I109" s="3" t="n">
        <v>-43400</v>
      </c>
    </row>
    <row r="110">
      <c r="A110" t="n">
        <v>41110000</v>
      </c>
      <c r="B110" s="2" t="n">
        <v>45818</v>
      </c>
      <c r="C110" t="inlineStr">
        <is>
          <t>BQE</t>
        </is>
      </c>
      <c r="D110" t="inlineStr">
        <is>
          <t>BQE06003</t>
        </is>
      </c>
      <c r="E110" t="inlineStr">
        <is>
          <t>VERSEMENT ESPECE BAMBOO IMMO/GUY PATRICK</t>
        </is>
      </c>
      <c r="F110" t="inlineStr">
        <is>
          <t>R</t>
        </is>
      </c>
      <c r="G110" s="3" t="n">
        <v>0</v>
      </c>
      <c r="H110" s="3" t="n">
        <v>67000</v>
      </c>
      <c r="I110" s="3" t="n">
        <v>-110400</v>
      </c>
    </row>
    <row r="111">
      <c r="A111" t="n">
        <v>41110000</v>
      </c>
      <c r="B111" s="2" t="n">
        <v>45818</v>
      </c>
      <c r="C111" t="inlineStr">
        <is>
          <t>BQE</t>
        </is>
      </c>
      <c r="D111" t="inlineStr">
        <is>
          <t>BQE06004</t>
        </is>
      </c>
      <c r="E111" t="inlineStr">
        <is>
          <t>VERSEMENT ESPECE BAMBOO IMMO/GUY PATRICK</t>
        </is>
      </c>
      <c r="F111" t="inlineStr">
        <is>
          <t>R</t>
        </is>
      </c>
      <c r="G111" s="3" t="n">
        <v>0</v>
      </c>
      <c r="H111" s="3" t="n">
        <v>35700</v>
      </c>
      <c r="I111" s="3" t="n">
        <v>-146100</v>
      </c>
    </row>
    <row r="112">
      <c r="A112" t="n">
        <v>41110000</v>
      </c>
      <c r="B112" s="2" t="n">
        <v>45818</v>
      </c>
      <c r="C112" t="inlineStr">
        <is>
          <t>COM</t>
        </is>
      </c>
      <c r="D112" t="inlineStr">
        <is>
          <t>COM06001</t>
        </is>
      </c>
      <c r="E112" t="inlineStr">
        <is>
          <t>FACTURATION LOYER MAI 2025</t>
        </is>
      </c>
      <c r="F112" t="inlineStr">
        <is>
          <t>R</t>
        </is>
      </c>
      <c r="G112" s="3" t="n">
        <v>43400</v>
      </c>
      <c r="H112" s="3" t="n">
        <v>0</v>
      </c>
      <c r="I112" s="3" t="n">
        <v>-102700</v>
      </c>
    </row>
    <row r="113">
      <c r="A113" t="n">
        <v>41110000</v>
      </c>
      <c r="B113" s="2" t="n">
        <v>45818</v>
      </c>
      <c r="C113" t="inlineStr">
        <is>
          <t>COM</t>
        </is>
      </c>
      <c r="D113" t="inlineStr">
        <is>
          <t>COM06002</t>
        </is>
      </c>
      <c r="E113" t="inlineStr">
        <is>
          <t>FACTURATION LOYER MAI 2025</t>
        </is>
      </c>
      <c r="F113" t="inlineStr">
        <is>
          <t>R</t>
        </is>
      </c>
      <c r="G113" s="3" t="n">
        <v>67000</v>
      </c>
      <c r="H113" s="3" t="n">
        <v>0</v>
      </c>
      <c r="I113" s="3" t="n">
        <v>-35700</v>
      </c>
    </row>
    <row r="114">
      <c r="A114" t="n">
        <v>41110000</v>
      </c>
      <c r="B114" s="2" t="n">
        <v>45818</v>
      </c>
      <c r="C114" t="inlineStr">
        <is>
          <t>COM</t>
        </is>
      </c>
      <c r="D114" t="inlineStr">
        <is>
          <t>COM06003</t>
        </is>
      </c>
      <c r="E114" t="inlineStr">
        <is>
          <t>FACTURATION LOYER MAI 2025</t>
        </is>
      </c>
      <c r="F114" t="inlineStr">
        <is>
          <t>R</t>
        </is>
      </c>
      <c r="G114" s="3" t="n">
        <v>35700</v>
      </c>
      <c r="H114" s="3" t="n">
        <v>0</v>
      </c>
      <c r="I114" s="3" t="n">
        <v/>
      </c>
    </row>
    <row r="115">
      <c r="A115" t="n">
        <v>41110000</v>
      </c>
      <c r="B115" s="2" t="n">
        <v>45819</v>
      </c>
      <c r="C115" t="inlineStr">
        <is>
          <t>BQE</t>
        </is>
      </c>
      <c r="D115" t="inlineStr">
        <is>
          <t>BQE06005</t>
        </is>
      </c>
      <c r="E115" t="inlineStr">
        <is>
          <t>VERSEMENT ESPECE BAMBOO IMMO/GUY PATRICK</t>
        </is>
      </c>
      <c r="F115" t="inlineStr">
        <is>
          <t>R</t>
        </is>
      </c>
      <c r="G115" s="3" t="n">
        <v>0</v>
      </c>
      <c r="H115" s="3" t="n">
        <v>42000</v>
      </c>
      <c r="I115" s="3" t="n">
        <v>-42000</v>
      </c>
    </row>
    <row r="116">
      <c r="A116" t="n">
        <v>41110000</v>
      </c>
      <c r="B116" s="2" t="n">
        <v>45819</v>
      </c>
      <c r="C116" t="inlineStr">
        <is>
          <t>COM</t>
        </is>
      </c>
      <c r="D116" t="inlineStr">
        <is>
          <t>COM06004</t>
        </is>
      </c>
      <c r="E116" t="inlineStr">
        <is>
          <t>FACTURATION LOYER MAI 2025</t>
        </is>
      </c>
      <c r="F116" t="inlineStr">
        <is>
          <t>R</t>
        </is>
      </c>
      <c r="G116" s="3" t="n">
        <v>42000</v>
      </c>
      <c r="H116" s="3" t="n">
        <v>0</v>
      </c>
      <c r="I116" s="3" t="n">
        <v/>
      </c>
    </row>
    <row r="117">
      <c r="A117" t="n">
        <v>41110000</v>
      </c>
      <c r="B117" s="2" t="n">
        <v>45821</v>
      </c>
      <c r="C117" t="inlineStr">
        <is>
          <t>BQE</t>
        </is>
      </c>
      <c r="D117" t="inlineStr">
        <is>
          <t>BQE06006</t>
        </is>
      </c>
      <c r="E117" t="inlineStr">
        <is>
          <t>VERSEMENT ESPECE BAMBOO IMMO/GUY PATRICK</t>
        </is>
      </c>
      <c r="F117" t="inlineStr">
        <is>
          <t>Q</t>
        </is>
      </c>
      <c r="G117" s="3" t="n">
        <v>0</v>
      </c>
      <c r="H117" s="3" t="n">
        <v>70000</v>
      </c>
      <c r="I117" s="3" t="n">
        <v>-70000</v>
      </c>
    </row>
    <row r="118">
      <c r="A118" t="n">
        <v>41110000</v>
      </c>
      <c r="B118" s="2" t="n">
        <v>45821</v>
      </c>
      <c r="C118" t="inlineStr">
        <is>
          <t>BQE</t>
        </is>
      </c>
      <c r="D118" t="inlineStr">
        <is>
          <t>BQE06007</t>
        </is>
      </c>
      <c r="E118" t="inlineStr">
        <is>
          <t>VERSEMENT ESPECE BAMBOO IMMO</t>
        </is>
      </c>
      <c r="F118" t="inlineStr">
        <is>
          <t>Q</t>
        </is>
      </c>
      <c r="G118" s="3" t="n">
        <v>0</v>
      </c>
      <c r="H118" s="3" t="n">
        <v>75000</v>
      </c>
      <c r="I118" s="3" t="n">
        <v>-145000</v>
      </c>
    </row>
    <row r="119">
      <c r="A119" t="n">
        <v>41110000</v>
      </c>
      <c r="B119" s="2" t="n">
        <v>45821</v>
      </c>
      <c r="C119" t="inlineStr">
        <is>
          <t>BQE</t>
        </is>
      </c>
      <c r="D119" t="inlineStr">
        <is>
          <t>BQE06008</t>
        </is>
      </c>
      <c r="E119" t="inlineStr">
        <is>
          <t>VERSEMENT ESPECE BAMBOO IMMO/HONORAIRE/GUY PATRICK</t>
        </is>
      </c>
      <c r="F119" t="inlineStr">
        <is>
          <t>Q</t>
        </is>
      </c>
      <c r="G119" s="3" t="n">
        <v>0</v>
      </c>
      <c r="H119" s="3" t="n">
        <v>17500</v>
      </c>
      <c r="I119" s="3" t="n">
        <v>-162500</v>
      </c>
    </row>
    <row r="120">
      <c r="A120" t="n">
        <v>41110000</v>
      </c>
      <c r="B120" s="2" t="n">
        <v>45821</v>
      </c>
      <c r="C120" t="inlineStr">
        <is>
          <t>COM</t>
        </is>
      </c>
      <c r="D120" t="inlineStr">
        <is>
          <t>COM06005</t>
        </is>
      </c>
      <c r="E120" t="inlineStr">
        <is>
          <t>FACTURATION LOYER MAI 2025</t>
        </is>
      </c>
      <c r="F120" t="inlineStr">
        <is>
          <t>Q</t>
        </is>
      </c>
      <c r="G120" s="3" t="n">
        <v>70000</v>
      </c>
      <c r="H120" s="3" t="n">
        <v>0</v>
      </c>
      <c r="I120" s="3" t="n">
        <v>-92500</v>
      </c>
    </row>
    <row r="121">
      <c r="A121" t="n">
        <v>41110000</v>
      </c>
      <c r="B121" s="2" t="n">
        <v>45821</v>
      </c>
      <c r="C121" t="inlineStr">
        <is>
          <t>COM</t>
        </is>
      </c>
      <c r="D121" t="inlineStr">
        <is>
          <t>COM06006</t>
        </is>
      </c>
      <c r="E121" t="inlineStr">
        <is>
          <t>FACTURATION LOYER MAI 2025</t>
        </is>
      </c>
      <c r="F121" t="inlineStr">
        <is>
          <t>Q</t>
        </is>
      </c>
      <c r="G121" s="3" t="n">
        <v>75000</v>
      </c>
      <c r="H121" s="3" t="n">
        <v>0</v>
      </c>
      <c r="I121" s="3" t="n">
        <v>-17500</v>
      </c>
    </row>
    <row r="122">
      <c r="A122" t="n">
        <v>41110000</v>
      </c>
      <c r="B122" s="2" t="n">
        <v>45821</v>
      </c>
      <c r="C122" t="inlineStr">
        <is>
          <t>COM</t>
        </is>
      </c>
      <c r="D122" t="inlineStr">
        <is>
          <t>COM06007</t>
        </is>
      </c>
      <c r="E122" t="inlineStr">
        <is>
          <t>FACTURATION LOYER MAI 2025</t>
        </is>
      </c>
      <c r="F122" t="inlineStr">
        <is>
          <t>Q</t>
        </is>
      </c>
      <c r="G122" s="3" t="n">
        <v>17500</v>
      </c>
      <c r="H122" s="3" t="n">
        <v>0</v>
      </c>
      <c r="I122" s="3" t="n">
        <v/>
      </c>
    </row>
    <row r="123">
      <c r="A123" t="n">
        <v>41110000</v>
      </c>
      <c r="B123" s="2" t="n">
        <v>45824</v>
      </c>
      <c r="C123" t="inlineStr">
        <is>
          <t>BQE</t>
        </is>
      </c>
      <c r="D123" t="inlineStr">
        <is>
          <t>BQE06009</t>
        </is>
      </c>
      <c r="E123" t="inlineStr">
        <is>
          <t>VIREMENT RECU BENSON PETHER REFERENDUM</t>
        </is>
      </c>
      <c r="F123" t="inlineStr">
        <is>
          <t>P</t>
        </is>
      </c>
      <c r="G123" s="3" t="n">
        <v>0</v>
      </c>
      <c r="H123" s="3" t="n">
        <v>136500</v>
      </c>
      <c r="I123" s="3" t="n">
        <v>-136500</v>
      </c>
    </row>
    <row r="124">
      <c r="A124" t="n">
        <v>41110000</v>
      </c>
      <c r="B124" s="2" t="n">
        <v>45824</v>
      </c>
      <c r="C124" t="inlineStr">
        <is>
          <t>COM</t>
        </is>
      </c>
      <c r="D124" t="inlineStr">
        <is>
          <t>COM06008</t>
        </is>
      </c>
      <c r="E124" t="inlineStr">
        <is>
          <t>FACTURATION LOYER MAI 2025</t>
        </is>
      </c>
      <c r="F124" t="inlineStr">
        <is>
          <t>P</t>
        </is>
      </c>
      <c r="G124" s="3" t="n">
        <v>136500</v>
      </c>
      <c r="H124" s="3" t="n">
        <v>0</v>
      </c>
      <c r="I124" s="3" t="n">
        <v/>
      </c>
    </row>
    <row r="125">
      <c r="A125" t="n">
        <v>41110000</v>
      </c>
      <c r="B125" s="2" t="n">
        <v>45825</v>
      </c>
      <c r="C125" t="inlineStr">
        <is>
          <t>BQE</t>
        </is>
      </c>
      <c r="D125" t="inlineStr">
        <is>
          <t>BQE06010</t>
        </is>
      </c>
      <c r="E125" t="inlineStr">
        <is>
          <t>VERSEMENT ESPECE BAMBOO IMMO/GUY PATRICK</t>
        </is>
      </c>
      <c r="F125" t="inlineStr">
        <is>
          <t>P</t>
        </is>
      </c>
      <c r="G125" s="3" t="n">
        <v>0</v>
      </c>
      <c r="H125" s="3" t="n">
        <v>43400</v>
      </c>
      <c r="I125" s="3" t="n">
        <v>-43400</v>
      </c>
    </row>
    <row r="126">
      <c r="A126" t="n">
        <v>41110000</v>
      </c>
      <c r="B126" s="2" t="n">
        <v>45825</v>
      </c>
      <c r="C126" t="inlineStr">
        <is>
          <t>COM</t>
        </is>
      </c>
      <c r="D126" t="inlineStr">
        <is>
          <t>COM06009</t>
        </is>
      </c>
      <c r="E126" t="inlineStr">
        <is>
          <t>FACTURATION LOYER MAI 2025</t>
        </is>
      </c>
      <c r="F126" t="inlineStr">
        <is>
          <t>P</t>
        </is>
      </c>
      <c r="G126" s="3" t="n">
        <v>43400</v>
      </c>
      <c r="H126" s="3" t="n">
        <v>0</v>
      </c>
      <c r="I126" s="3" t="n">
        <v/>
      </c>
    </row>
    <row r="127">
      <c r="A127" t="n">
        <v>41110000</v>
      </c>
      <c r="B127" s="2" t="n">
        <v>45832</v>
      </c>
      <c r="C127" t="inlineStr">
        <is>
          <t>BQE</t>
        </is>
      </c>
      <c r="D127" t="inlineStr">
        <is>
          <t>BQE06011</t>
        </is>
      </c>
      <c r="E127" t="inlineStr">
        <is>
          <t>VERSEMENT ESPECE BAMBOO IMMO/HONORAIRE/GUY PATRICK</t>
        </is>
      </c>
      <c r="F127" t="inlineStr">
        <is>
          <t>P</t>
        </is>
      </c>
      <c r="G127" s="3" t="n">
        <v>0</v>
      </c>
      <c r="H127" s="3" t="n">
        <v>21700</v>
      </c>
      <c r="I127" s="3" t="n">
        <v>-21700</v>
      </c>
    </row>
    <row r="128">
      <c r="A128" t="n">
        <v>41110000</v>
      </c>
      <c r="B128" s="2" t="n">
        <v>45832</v>
      </c>
      <c r="C128" t="inlineStr">
        <is>
          <t>COM</t>
        </is>
      </c>
      <c r="D128" t="inlineStr">
        <is>
          <t>COM06010</t>
        </is>
      </c>
      <c r="E128" t="inlineStr">
        <is>
          <t>FACTURATION LOYER MAI 2025</t>
        </is>
      </c>
      <c r="F128" t="inlineStr">
        <is>
          <t>P</t>
        </is>
      </c>
      <c r="G128" s="3" t="n">
        <v>21700</v>
      </c>
      <c r="H128" s="3" t="n">
        <v>0</v>
      </c>
      <c r="I128" s="3" t="n">
        <v/>
      </c>
    </row>
    <row r="129">
      <c r="A129" t="n">
        <v>41110000</v>
      </c>
      <c r="B129" s="2" t="n">
        <v>45833</v>
      </c>
      <c r="C129" t="inlineStr">
        <is>
          <t>BQE</t>
        </is>
      </c>
      <c r="D129" t="inlineStr">
        <is>
          <t>BQE06012</t>
        </is>
      </c>
      <c r="E129" t="inlineStr">
        <is>
          <t>VERSEMENT ESPECE PHILIPPE</t>
        </is>
      </c>
      <c r="F129" t="inlineStr">
        <is>
          <t>O</t>
        </is>
      </c>
      <c r="G129" s="3" t="n">
        <v>0</v>
      </c>
      <c r="H129" s="3" t="n">
        <v>70000</v>
      </c>
      <c r="I129" s="3" t="n">
        <v>-70000</v>
      </c>
    </row>
    <row r="130">
      <c r="A130" t="n">
        <v>41110000</v>
      </c>
      <c r="B130" s="2" t="n">
        <v>45833</v>
      </c>
      <c r="C130" t="inlineStr">
        <is>
          <t>COM</t>
        </is>
      </c>
      <c r="D130" t="inlineStr">
        <is>
          <t>COM06011</t>
        </is>
      </c>
      <c r="E130" t="inlineStr">
        <is>
          <t>FACTURATION LOYER MAI 2025</t>
        </is>
      </c>
      <c r="F130" t="inlineStr">
        <is>
          <t>O</t>
        </is>
      </c>
      <c r="G130" s="3" t="n">
        <v>70000</v>
      </c>
      <c r="H130" s="3" t="n">
        <v>0</v>
      </c>
      <c r="I130" s="3" t="n">
        <v/>
      </c>
    </row>
    <row r="131">
      <c r="A131" t="n">
        <v>41110000</v>
      </c>
      <c r="B131" s="2" t="n">
        <v>45845</v>
      </c>
      <c r="C131" t="inlineStr">
        <is>
          <t>BQE</t>
        </is>
      </c>
      <c r="D131" t="inlineStr">
        <is>
          <t>BQ07001</t>
        </is>
      </c>
      <c r="E131" t="inlineStr">
        <is>
          <t>VERS ESP HONORAIRE GUY PATRICK</t>
        </is>
      </c>
      <c r="F131" t="inlineStr">
        <is>
          <t>N</t>
        </is>
      </c>
      <c r="G131" s="3" t="n">
        <v>0</v>
      </c>
      <c r="H131" s="3" t="n">
        <v>50050</v>
      </c>
      <c r="I131" s="3" t="n">
        <v>-50050</v>
      </c>
    </row>
    <row r="132">
      <c r="A132" t="n">
        <v>41110000</v>
      </c>
      <c r="B132" s="2" t="n">
        <v>45845</v>
      </c>
      <c r="C132" t="inlineStr">
        <is>
          <t>BQE</t>
        </is>
      </c>
      <c r="D132" t="inlineStr">
        <is>
          <t>BQ07002</t>
        </is>
      </c>
      <c r="E132" t="inlineStr">
        <is>
          <t>VERS ESP BIMMO GUY PATRICK</t>
        </is>
      </c>
      <c r="F132" t="inlineStr">
        <is>
          <t>N</t>
        </is>
      </c>
      <c r="G132" s="3" t="n">
        <v>0</v>
      </c>
      <c r="H132" s="3" t="n">
        <v>28000</v>
      </c>
      <c r="I132" s="3" t="n">
        <v>-78050</v>
      </c>
    </row>
    <row r="133">
      <c r="A133" t="n">
        <v>41110000</v>
      </c>
      <c r="B133" s="2" t="n">
        <v>45845</v>
      </c>
      <c r="C133" t="inlineStr">
        <is>
          <t>BQE</t>
        </is>
      </c>
      <c r="D133" t="inlineStr">
        <is>
          <t>BQ07003</t>
        </is>
      </c>
      <c r="E133" t="inlineStr">
        <is>
          <t>VERS ESP BIMMO GUY PATRICK</t>
        </is>
      </c>
      <c r="F133" t="inlineStr">
        <is>
          <t>N</t>
        </is>
      </c>
      <c r="G133" s="3" t="n">
        <v>0</v>
      </c>
      <c r="H133" s="3" t="n">
        <v>54250</v>
      </c>
      <c r="I133" s="3" t="n">
        <v>-132300</v>
      </c>
    </row>
    <row r="134">
      <c r="A134" t="n">
        <v>41110000</v>
      </c>
      <c r="B134" s="2" t="n">
        <v>45845</v>
      </c>
      <c r="C134" t="inlineStr">
        <is>
          <t>COM</t>
        </is>
      </c>
      <c r="D134" t="inlineStr">
        <is>
          <t>COM07001</t>
        </is>
      </c>
      <c r="E134" t="inlineStr">
        <is>
          <t>FACTURATION LOYER JUIL 2025</t>
        </is>
      </c>
      <c r="F134" t="inlineStr">
        <is>
          <t>N</t>
        </is>
      </c>
      <c r="G134" s="3" t="n">
        <v>50050</v>
      </c>
      <c r="H134" s="3" t="n">
        <v>0</v>
      </c>
      <c r="I134" s="3" t="n">
        <v>-82250</v>
      </c>
    </row>
    <row r="135">
      <c r="A135" t="n">
        <v>41110000</v>
      </c>
      <c r="B135" s="2" t="n">
        <v>45845</v>
      </c>
      <c r="C135" t="inlineStr">
        <is>
          <t>COM</t>
        </is>
      </c>
      <c r="D135" t="inlineStr">
        <is>
          <t>COM07002</t>
        </is>
      </c>
      <c r="E135" t="inlineStr">
        <is>
          <t>FACTURATION LOYER JUIL 2025</t>
        </is>
      </c>
      <c r="F135" t="inlineStr">
        <is>
          <t>N</t>
        </is>
      </c>
      <c r="G135" s="3" t="n">
        <v>28000</v>
      </c>
      <c r="H135" s="3" t="n">
        <v>0</v>
      </c>
      <c r="I135" s="3" t="n">
        <v>-54250</v>
      </c>
    </row>
    <row r="136">
      <c r="A136" t="n">
        <v>41110000</v>
      </c>
      <c r="B136" s="2" t="n">
        <v>45845</v>
      </c>
      <c r="C136" t="inlineStr">
        <is>
          <t>COM</t>
        </is>
      </c>
      <c r="D136" t="inlineStr">
        <is>
          <t>COM07003</t>
        </is>
      </c>
      <c r="E136" t="inlineStr">
        <is>
          <t>FACTURATION LOYER JUIL 2025</t>
        </is>
      </c>
      <c r="F136" t="inlineStr">
        <is>
          <t>N</t>
        </is>
      </c>
      <c r="G136" s="3" t="n">
        <v>54250</v>
      </c>
      <c r="H136" s="3" t="n">
        <v>0</v>
      </c>
      <c r="I136" s="3" t="n">
        <v/>
      </c>
    </row>
    <row r="137">
      <c r="A137" t="n">
        <v>41110000</v>
      </c>
      <c r="B137" s="2" t="n">
        <v>45847</v>
      </c>
      <c r="C137" t="inlineStr">
        <is>
          <t>BQE</t>
        </is>
      </c>
      <c r="D137" t="inlineStr">
        <is>
          <t>BQ07004</t>
        </is>
      </c>
      <c r="E137" t="inlineStr">
        <is>
          <t>VERS ESP BIMMO GUY PATRICK</t>
        </is>
      </c>
      <c r="F137" t="inlineStr">
        <is>
          <t>E</t>
        </is>
      </c>
      <c r="G137" s="3" t="n">
        <v>0</v>
      </c>
      <c r="H137" s="3" t="n">
        <v>23800</v>
      </c>
      <c r="I137" s="3" t="n">
        <v>-23800</v>
      </c>
    </row>
    <row r="138">
      <c r="A138" t="n">
        <v>41110000</v>
      </c>
      <c r="B138" s="2" t="n">
        <v>45847</v>
      </c>
      <c r="C138" t="inlineStr">
        <is>
          <t>BQE</t>
        </is>
      </c>
      <c r="D138" t="inlineStr">
        <is>
          <t>BQ07005</t>
        </is>
      </c>
      <c r="E138" t="inlineStr">
        <is>
          <t>VERS ESP BIMMO GUY PATRICK</t>
        </is>
      </c>
      <c r="F138" t="inlineStr">
        <is>
          <t>E</t>
        </is>
      </c>
      <c r="G138" s="3" t="n">
        <v>0</v>
      </c>
      <c r="H138" s="3" t="n">
        <v>35700</v>
      </c>
      <c r="I138" s="3" t="n">
        <v>-59500</v>
      </c>
    </row>
    <row r="139">
      <c r="A139" t="n">
        <v>41110000</v>
      </c>
      <c r="B139" s="2" t="n">
        <v>45847</v>
      </c>
      <c r="C139" t="inlineStr">
        <is>
          <t>COM</t>
        </is>
      </c>
      <c r="D139" t="inlineStr">
        <is>
          <t>COM07004</t>
        </is>
      </c>
      <c r="E139" t="inlineStr">
        <is>
          <t>FACTURATION LOYER JUIL 2025</t>
        </is>
      </c>
      <c r="F139" t="inlineStr">
        <is>
          <t>E</t>
        </is>
      </c>
      <c r="G139" s="3" t="n">
        <v>23800</v>
      </c>
      <c r="H139" s="3" t="n">
        <v>0</v>
      </c>
      <c r="I139" s="3" t="n">
        <v>-35700</v>
      </c>
    </row>
    <row r="140">
      <c r="A140" t="n">
        <v>41110000</v>
      </c>
      <c r="B140" s="2" t="n">
        <v>45848</v>
      </c>
      <c r="C140" t="inlineStr">
        <is>
          <t>BQE</t>
        </is>
      </c>
      <c r="D140" t="inlineStr">
        <is>
          <t>BQ07006</t>
        </is>
      </c>
      <c r="E140" t="inlineStr">
        <is>
          <t>VERS ESP CREPIN OKOUDIE</t>
        </is>
      </c>
      <c r="F140" t="inlineStr">
        <is>
          <t>E</t>
        </is>
      </c>
      <c r="G140" s="3" t="n">
        <v>0</v>
      </c>
      <c r="H140" s="3" t="n">
        <v>43400</v>
      </c>
      <c r="I140" s="3" t="n">
        <v>-79100</v>
      </c>
    </row>
    <row r="141">
      <c r="A141" t="n">
        <v>41110000</v>
      </c>
      <c r="B141" s="2" t="n">
        <v>45848</v>
      </c>
      <c r="C141" t="inlineStr">
        <is>
          <t>BQE</t>
        </is>
      </c>
      <c r="D141" t="inlineStr">
        <is>
          <t>BQ07007</t>
        </is>
      </c>
      <c r="E141" t="inlineStr">
        <is>
          <t>VERS ESP BIMMO GUY PATRICK</t>
        </is>
      </c>
      <c r="F141" t="inlineStr">
        <is>
          <t>E</t>
        </is>
      </c>
      <c r="G141" s="3" t="n">
        <v>0</v>
      </c>
      <c r="H141" s="3" t="n">
        <v>75000</v>
      </c>
      <c r="I141" s="3" t="n">
        <v>-154100</v>
      </c>
    </row>
    <row r="142">
      <c r="A142" t="n">
        <v>41110000</v>
      </c>
      <c r="B142" s="2" t="n">
        <v>45848</v>
      </c>
      <c r="C142" t="inlineStr">
        <is>
          <t>COM</t>
        </is>
      </c>
      <c r="D142" t="inlineStr">
        <is>
          <t>COM07005</t>
        </is>
      </c>
      <c r="E142" t="inlineStr">
        <is>
          <t>FACTURATION LOYER JUIL 2025</t>
        </is>
      </c>
      <c r="F142" t="inlineStr">
        <is>
          <t>E</t>
        </is>
      </c>
      <c r="G142" s="3" t="n">
        <v>35700</v>
      </c>
      <c r="H142" s="3" t="n">
        <v>0</v>
      </c>
      <c r="I142" s="3" t="n">
        <v>-118400</v>
      </c>
    </row>
    <row r="143">
      <c r="A143" t="n">
        <v>41110000</v>
      </c>
      <c r="B143" s="2" t="n">
        <v>45848</v>
      </c>
      <c r="C143" t="inlineStr">
        <is>
          <t>COM</t>
        </is>
      </c>
      <c r="D143" t="inlineStr">
        <is>
          <t>COM07006</t>
        </is>
      </c>
      <c r="E143" t="inlineStr">
        <is>
          <t>FACTURATION LOYER JUIL 2025</t>
        </is>
      </c>
      <c r="F143" t="inlineStr">
        <is>
          <t>E</t>
        </is>
      </c>
      <c r="G143" s="3" t="n">
        <v>43400</v>
      </c>
      <c r="H143" s="3" t="n">
        <v>0</v>
      </c>
      <c r="I143" s="3" t="n">
        <v>-75000</v>
      </c>
    </row>
    <row r="144">
      <c r="A144" t="n">
        <v>41110000</v>
      </c>
      <c r="B144" s="2" t="n">
        <v>45853</v>
      </c>
      <c r="C144" t="inlineStr">
        <is>
          <t>COM</t>
        </is>
      </c>
      <c r="D144" t="inlineStr">
        <is>
          <t>COM07007</t>
        </is>
      </c>
      <c r="E144" t="inlineStr">
        <is>
          <t>FACTURATION LOYER JUIL 2025</t>
        </is>
      </c>
      <c r="F144" t="inlineStr">
        <is>
          <t>E</t>
        </is>
      </c>
      <c r="G144" s="3" t="n">
        <v>75000</v>
      </c>
      <c r="H144" s="3" t="n">
        <v>0</v>
      </c>
      <c r="I144" s="3" t="n">
        <v/>
      </c>
    </row>
    <row r="145">
      <c r="A145" t="n">
        <v>41110000</v>
      </c>
      <c r="B145" s="2" t="n">
        <v>45854</v>
      </c>
      <c r="C145" t="inlineStr">
        <is>
          <t>BQE</t>
        </is>
      </c>
      <c r="D145" t="inlineStr">
        <is>
          <t>BQ07008</t>
        </is>
      </c>
      <c r="E145" t="inlineStr">
        <is>
          <t>VERS ESP PHILIPPE</t>
        </is>
      </c>
      <c r="F145" t="inlineStr">
        <is>
          <t>D</t>
        </is>
      </c>
      <c r="G145" s="3" t="n">
        <v>0</v>
      </c>
      <c r="H145" s="3" t="n">
        <v>70000</v>
      </c>
      <c r="I145" s="3" t="n">
        <v>-70000</v>
      </c>
    </row>
    <row r="146">
      <c r="A146" t="n">
        <v>41110000</v>
      </c>
      <c r="B146" s="2" t="n">
        <v>45854</v>
      </c>
      <c r="C146" t="inlineStr">
        <is>
          <t>COM</t>
        </is>
      </c>
      <c r="D146" t="inlineStr">
        <is>
          <t>COM07008</t>
        </is>
      </c>
      <c r="E146" t="inlineStr">
        <is>
          <t>FACTURATION LOYER JUIL 2025</t>
        </is>
      </c>
      <c r="F146" t="inlineStr">
        <is>
          <t>D</t>
        </is>
      </c>
      <c r="G146" s="3" t="n">
        <v>70000</v>
      </c>
      <c r="H146" s="3" t="n">
        <v>0</v>
      </c>
      <c r="I146" s="3" t="n">
        <v/>
      </c>
    </row>
    <row r="147">
      <c r="A147" t="n">
        <v>41110000</v>
      </c>
      <c r="B147" s="2" t="n">
        <v>45855</v>
      </c>
      <c r="C147" t="inlineStr">
        <is>
          <t>BQE</t>
        </is>
      </c>
      <c r="D147" t="inlineStr">
        <is>
          <t>BQ07009</t>
        </is>
      </c>
      <c r="E147" t="inlineStr">
        <is>
          <t>VERS ESP BIMMO GUY PATRICK</t>
        </is>
      </c>
      <c r="F147" t="inlineStr">
        <is>
          <t>D</t>
        </is>
      </c>
      <c r="G147" s="3" t="n">
        <v>0</v>
      </c>
      <c r="H147" s="3" t="n">
        <v>67000</v>
      </c>
      <c r="I147" s="3" t="n">
        <v>-67000</v>
      </c>
    </row>
    <row r="148">
      <c r="A148" t="n">
        <v>41110000</v>
      </c>
      <c r="B148" s="2" t="n">
        <v>45855</v>
      </c>
      <c r="C148" t="inlineStr">
        <is>
          <t>COM</t>
        </is>
      </c>
      <c r="D148" t="inlineStr">
        <is>
          <t>COM07009</t>
        </is>
      </c>
      <c r="E148" t="inlineStr">
        <is>
          <t>FACTURATION LOYER JUIL 2025</t>
        </is>
      </c>
      <c r="F148" t="inlineStr">
        <is>
          <t>D</t>
        </is>
      </c>
      <c r="G148" s="3" t="n">
        <v>67000</v>
      </c>
      <c r="H148" s="3" t="n">
        <v>0</v>
      </c>
      <c r="I148" s="3" t="n">
        <v/>
      </c>
    </row>
    <row r="149">
      <c r="A149" t="n">
        <v>41110000</v>
      </c>
      <c r="B149" s="2" t="n">
        <v>45859</v>
      </c>
      <c r="C149" t="inlineStr">
        <is>
          <t>BQE</t>
        </is>
      </c>
      <c r="D149" t="inlineStr">
        <is>
          <t>BQ07010</t>
        </is>
      </c>
      <c r="E149" t="inlineStr">
        <is>
          <t>VERS ESP BIMMO GUY PATRICK</t>
        </is>
      </c>
      <c r="F149" t="inlineStr">
        <is>
          <t>D</t>
        </is>
      </c>
      <c r="G149" s="3" t="n">
        <v>0</v>
      </c>
      <c r="H149" s="3" t="n">
        <v>29400</v>
      </c>
      <c r="I149" s="3" t="n">
        <v>-29400</v>
      </c>
    </row>
    <row r="150">
      <c r="A150" t="n">
        <v>41110000</v>
      </c>
      <c r="B150" s="2" t="n">
        <v>45859</v>
      </c>
      <c r="C150" t="inlineStr">
        <is>
          <t>COM</t>
        </is>
      </c>
      <c r="D150" t="inlineStr">
        <is>
          <t>COM07010</t>
        </is>
      </c>
      <c r="E150" t="inlineStr">
        <is>
          <t>FACTURATION LOYER JUIL 2025</t>
        </is>
      </c>
      <c r="F150" t="inlineStr">
        <is>
          <t>D</t>
        </is>
      </c>
      <c r="G150" s="3" t="n">
        <v>29400</v>
      </c>
      <c r="H150" s="3" t="n">
        <v>0</v>
      </c>
      <c r="I150" s="3" t="n">
        <v/>
      </c>
    </row>
    <row r="151">
      <c r="A151" t="n">
        <v>41110000</v>
      </c>
      <c r="B151" s="2" t="n">
        <v>45860</v>
      </c>
      <c r="C151" t="inlineStr">
        <is>
          <t>BQE</t>
        </is>
      </c>
      <c r="D151" t="inlineStr">
        <is>
          <t>BQ07011</t>
        </is>
      </c>
      <c r="E151" t="inlineStr">
        <is>
          <t>VERS ESP BIMMO GUY PATRICK</t>
        </is>
      </c>
      <c r="F151" t="inlineStr">
        <is>
          <t>D</t>
        </is>
      </c>
      <c r="G151" s="3" t="n">
        <v>0</v>
      </c>
      <c r="H151" s="3" t="n">
        <v>25550</v>
      </c>
      <c r="I151" s="3" t="n">
        <v>-25550</v>
      </c>
    </row>
    <row r="152">
      <c r="A152" t="n">
        <v>41110000</v>
      </c>
      <c r="B152" s="2" t="n">
        <v>45860</v>
      </c>
      <c r="C152" t="inlineStr">
        <is>
          <t>COM</t>
        </is>
      </c>
      <c r="D152" t="inlineStr">
        <is>
          <t>COM07011</t>
        </is>
      </c>
      <c r="E152" t="inlineStr">
        <is>
          <t>FACTURATION LOYER JUIL 2025</t>
        </is>
      </c>
      <c r="F152" t="inlineStr">
        <is>
          <t>D</t>
        </is>
      </c>
      <c r="G152" s="3" t="n">
        <v>25550</v>
      </c>
      <c r="H152" s="3" t="n">
        <v>0</v>
      </c>
      <c r="I152" s="3" t="n">
        <v/>
      </c>
    </row>
    <row r="153">
      <c r="A153" t="n">
        <v>41110000</v>
      </c>
      <c r="B153" s="2" t="n">
        <v>45867</v>
      </c>
      <c r="C153" t="inlineStr">
        <is>
          <t>BQE</t>
        </is>
      </c>
      <c r="D153" t="inlineStr">
        <is>
          <t>BQ07012</t>
        </is>
      </c>
      <c r="E153" t="inlineStr">
        <is>
          <t>VIR RECU JOVITE CLAUDE CHRISTIAN MBOUI ONDO</t>
        </is>
      </c>
      <c r="F153" t="inlineStr">
        <is>
          <t>AE</t>
        </is>
      </c>
      <c r="G153" s="3" t="n">
        <v>0</v>
      </c>
      <c r="H153" s="3" t="n">
        <v>69300</v>
      </c>
      <c r="I153" s="3" t="n">
        <v>-69300</v>
      </c>
    </row>
    <row r="154">
      <c r="A154" t="n">
        <v>41110000</v>
      </c>
      <c r="B154" s="2" t="n">
        <v>45868</v>
      </c>
      <c r="C154" t="inlineStr">
        <is>
          <t>BQE</t>
        </is>
      </c>
      <c r="D154" t="inlineStr">
        <is>
          <t>BQ07013</t>
        </is>
      </c>
      <c r="E154" t="inlineStr">
        <is>
          <t>VERS ESP BIMMO GUY PATRICK</t>
        </is>
      </c>
      <c r="F154" t="inlineStr">
        <is>
          <t>C</t>
        </is>
      </c>
      <c r="G154" s="3" t="n">
        <v>0</v>
      </c>
      <c r="H154" s="3" t="n">
        <v>12250</v>
      </c>
      <c r="I154" s="3" t="n">
        <v>-81550</v>
      </c>
    </row>
    <row r="155">
      <c r="A155" t="n">
        <v>41110000</v>
      </c>
      <c r="B155" s="2" t="n">
        <v>45868</v>
      </c>
      <c r="C155" t="inlineStr">
        <is>
          <t>BQE</t>
        </is>
      </c>
      <c r="D155" t="inlineStr">
        <is>
          <t>BQ07014</t>
        </is>
      </c>
      <c r="E155" t="inlineStr">
        <is>
          <t>VERS ESP BIMMO GUY PATRICK</t>
        </is>
      </c>
      <c r="F155" t="inlineStr">
        <is>
          <t>C</t>
        </is>
      </c>
      <c r="G155" s="3" t="n">
        <v>0</v>
      </c>
      <c r="H155" s="3" t="n">
        <v>20650</v>
      </c>
      <c r="I155" s="3" t="n">
        <v>-102200</v>
      </c>
    </row>
    <row r="156">
      <c r="A156" t="n">
        <v>41110000</v>
      </c>
      <c r="B156" s="2" t="n">
        <v>45868</v>
      </c>
      <c r="C156" t="inlineStr">
        <is>
          <t>COM</t>
        </is>
      </c>
      <c r="D156" t="inlineStr">
        <is>
          <t>COM07013</t>
        </is>
      </c>
      <c r="E156" t="inlineStr">
        <is>
          <t>FACTURATION LOYER JUIL 2025</t>
        </is>
      </c>
      <c r="F156" t="inlineStr">
        <is>
          <t>C</t>
        </is>
      </c>
      <c r="G156" s="3" t="n">
        <v>12250</v>
      </c>
      <c r="H156" s="3" t="n">
        <v>0</v>
      </c>
      <c r="I156" s="3" t="n">
        <v>-89950</v>
      </c>
    </row>
    <row r="157">
      <c r="A157" t="n">
        <v>41110000</v>
      </c>
      <c r="B157" s="2" t="n">
        <v>45868</v>
      </c>
      <c r="C157" t="inlineStr">
        <is>
          <t>COM</t>
        </is>
      </c>
      <c r="D157" t="inlineStr">
        <is>
          <t>COM07014</t>
        </is>
      </c>
      <c r="E157" t="inlineStr">
        <is>
          <t>FACTURATION LOYER JUIL 2025</t>
        </is>
      </c>
      <c r="F157" t="inlineStr">
        <is>
          <t>C</t>
        </is>
      </c>
      <c r="G157" s="3" t="n">
        <v>20650</v>
      </c>
      <c r="H157" s="3" t="n">
        <v>0</v>
      </c>
      <c r="I157" s="3" t="n">
        <v>-69300</v>
      </c>
    </row>
    <row r="158">
      <c r="A158" t="n">
        <v>41110000</v>
      </c>
      <c r="B158" s="2" t="n">
        <v>45868</v>
      </c>
      <c r="C158" t="inlineStr">
        <is>
          <t>COM</t>
        </is>
      </c>
      <c r="D158" t="inlineStr">
        <is>
          <t>COM07015</t>
        </is>
      </c>
      <c r="E158" t="inlineStr">
        <is>
          <t>FACTURATION LOYER JUIL 2025</t>
        </is>
      </c>
      <c r="F158" t="inlineStr">
        <is>
          <t>AE</t>
        </is>
      </c>
      <c r="G158" s="3" t="n">
        <v>69300</v>
      </c>
      <c r="H158" s="3" t="n">
        <v>0</v>
      </c>
      <c r="I158" s="3" t="n">
        <v/>
      </c>
    </row>
    <row r="159">
      <c r="A159" t="n">
        <v>41110000</v>
      </c>
      <c r="B159" s="2" t="n">
        <v>45876</v>
      </c>
      <c r="C159" t="inlineStr">
        <is>
          <t>BQE</t>
        </is>
      </c>
      <c r="D159" t="inlineStr">
        <is>
          <t>BQ08001</t>
        </is>
      </c>
      <c r="E159" t="inlineStr">
        <is>
          <t>VER ESP BAMBOO IMMO</t>
        </is>
      </c>
      <c r="F159" t="inlineStr">
        <is>
          <t>S</t>
        </is>
      </c>
      <c r="G159" s="3" t="n">
        <v>0</v>
      </c>
      <c r="H159" s="3" t="n">
        <v>45500</v>
      </c>
      <c r="I159" s="3" t="n">
        <v>-45500</v>
      </c>
    </row>
    <row r="160">
      <c r="A160" t="n">
        <v>41110000</v>
      </c>
      <c r="B160" s="2" t="n">
        <v>45876</v>
      </c>
      <c r="C160" t="inlineStr">
        <is>
          <t>COM</t>
        </is>
      </c>
      <c r="D160" t="inlineStr">
        <is>
          <t>COM08001</t>
        </is>
      </c>
      <c r="E160" t="inlineStr">
        <is>
          <t>FACTURATION AOUT 2025</t>
        </is>
      </c>
      <c r="F160" t="inlineStr">
        <is>
          <t>S</t>
        </is>
      </c>
      <c r="G160" s="3" t="n">
        <v>45500</v>
      </c>
      <c r="H160" s="3" t="n">
        <v>0</v>
      </c>
      <c r="I160" s="3" t="n">
        <v/>
      </c>
    </row>
    <row r="161">
      <c r="A161" t="n">
        <v>41110000</v>
      </c>
      <c r="B161" s="2" t="n">
        <v>45877</v>
      </c>
      <c r="C161" t="inlineStr">
        <is>
          <t>COM</t>
        </is>
      </c>
      <c r="D161" t="inlineStr">
        <is>
          <t>COM08002</t>
        </is>
      </c>
      <c r="E161" t="inlineStr">
        <is>
          <t>FACTURATION AOUT 2025</t>
        </is>
      </c>
      <c r="F161" t="inlineStr">
        <is>
          <t>S</t>
        </is>
      </c>
      <c r="G161" s="3" t="n">
        <v>43400</v>
      </c>
      <c r="H161" s="3" t="n">
        <v>0</v>
      </c>
      <c r="I161" s="3" t="n">
        <v>43400</v>
      </c>
    </row>
    <row r="162">
      <c r="A162" t="n">
        <v>41110000</v>
      </c>
      <c r="B162" s="2" t="n">
        <v>45880</v>
      </c>
      <c r="C162" t="inlineStr">
        <is>
          <t>BQE</t>
        </is>
      </c>
      <c r="D162" t="inlineStr">
        <is>
          <t>BQ08003</t>
        </is>
      </c>
      <c r="E162" t="inlineStr">
        <is>
          <t>VER ESP BAMBOO IMMO/GUY PATRICK</t>
        </is>
      </c>
      <c r="F162" t="inlineStr">
        <is>
          <t>S</t>
        </is>
      </c>
      <c r="G162" s="3" t="n">
        <v>0</v>
      </c>
      <c r="H162" s="3" t="n">
        <v>43400</v>
      </c>
      <c r="I162" s="3" t="n">
        <v/>
      </c>
    </row>
    <row r="163">
      <c r="A163" t="n">
        <v>41110000</v>
      </c>
      <c r="B163" s="2" t="n">
        <v>45880</v>
      </c>
      <c r="C163" t="inlineStr">
        <is>
          <t>BQE</t>
        </is>
      </c>
      <c r="D163" t="inlineStr">
        <is>
          <t>BQ08004</t>
        </is>
      </c>
      <c r="E163" t="inlineStr">
        <is>
          <t>VER ESP BAMBOO IMMO/GUY PATRICK</t>
        </is>
      </c>
      <c r="F163" t="inlineStr">
        <is>
          <t>S</t>
        </is>
      </c>
      <c r="G163" s="3" t="n">
        <v>0</v>
      </c>
      <c r="H163" s="3" t="n">
        <v>23800</v>
      </c>
      <c r="I163" s="3" t="n">
        <v>-23800</v>
      </c>
    </row>
    <row r="164">
      <c r="A164" t="n">
        <v>41110000</v>
      </c>
      <c r="B164" s="2" t="n">
        <v>45880</v>
      </c>
      <c r="C164" t="inlineStr">
        <is>
          <t>BQE</t>
        </is>
      </c>
      <c r="D164" t="inlineStr">
        <is>
          <t>BQ08005</t>
        </is>
      </c>
      <c r="E164" t="inlineStr">
        <is>
          <t>VER ESP BAMBOO IMMO/GUY PATRICK</t>
        </is>
      </c>
      <c r="F164" t="inlineStr">
        <is>
          <t>S</t>
        </is>
      </c>
      <c r="G164" s="3" t="n">
        <v>0</v>
      </c>
      <c r="H164" s="3" t="n">
        <v>67000</v>
      </c>
      <c r="I164" s="3" t="n">
        <v>-90800</v>
      </c>
    </row>
    <row r="165">
      <c r="A165" t="n">
        <v>41110000</v>
      </c>
      <c r="B165" s="2" t="n">
        <v>45880</v>
      </c>
      <c r="C165" t="inlineStr">
        <is>
          <t>COM</t>
        </is>
      </c>
      <c r="D165" t="inlineStr">
        <is>
          <t>COM08003</t>
        </is>
      </c>
      <c r="E165" t="inlineStr">
        <is>
          <t>FACTURATION AOUT 2025</t>
        </is>
      </c>
      <c r="F165" t="inlineStr">
        <is>
          <t>S</t>
        </is>
      </c>
      <c r="G165" s="3" t="n">
        <v>23800</v>
      </c>
      <c r="H165" s="3" t="n">
        <v>0</v>
      </c>
      <c r="I165" s="3" t="n">
        <v>-67000</v>
      </c>
    </row>
    <row r="166">
      <c r="A166" t="n">
        <v>41110000</v>
      </c>
      <c r="B166" s="2" t="n">
        <v>45880</v>
      </c>
      <c r="C166" t="inlineStr">
        <is>
          <t>COM</t>
        </is>
      </c>
      <c r="D166" t="inlineStr">
        <is>
          <t>COM08004</t>
        </is>
      </c>
      <c r="E166" t="inlineStr">
        <is>
          <t>FACTURATION AOUT 2025</t>
        </is>
      </c>
      <c r="F166" t="inlineStr">
        <is>
          <t>S</t>
        </is>
      </c>
      <c r="G166" s="3" t="n">
        <v>67000</v>
      </c>
      <c r="H166" s="3" t="n">
        <v>0</v>
      </c>
      <c r="I166" s="3" t="n">
        <v/>
      </c>
    </row>
    <row r="167">
      <c r="A167" t="n">
        <v>41110000</v>
      </c>
      <c r="B167" s="2" t="n">
        <v>45881</v>
      </c>
      <c r="C167" t="inlineStr">
        <is>
          <t>BQE</t>
        </is>
      </c>
      <c r="D167" t="inlineStr">
        <is>
          <t>BQ08006</t>
        </is>
      </c>
      <c r="E167" t="inlineStr">
        <is>
          <t>VER ESP BAMBOO IMMO/GUY PATRICK/HONORAIRE</t>
        </is>
      </c>
      <c r="F167" t="inlineStr">
        <is>
          <t>S</t>
        </is>
      </c>
      <c r="G167" s="3" t="n">
        <v>0</v>
      </c>
      <c r="H167" s="3" t="n">
        <v>28000</v>
      </c>
      <c r="I167" s="3" t="n">
        <v>-28000</v>
      </c>
    </row>
    <row r="168">
      <c r="A168" t="n">
        <v>41110000</v>
      </c>
      <c r="B168" s="2" t="n">
        <v>45881</v>
      </c>
      <c r="C168" t="inlineStr">
        <is>
          <t>COM</t>
        </is>
      </c>
      <c r="D168" t="inlineStr">
        <is>
          <t>COM08005</t>
        </is>
      </c>
      <c r="E168" t="inlineStr">
        <is>
          <t>FACTURATION AOUT 2025</t>
        </is>
      </c>
      <c r="F168" t="inlineStr">
        <is>
          <t>S</t>
        </is>
      </c>
      <c r="G168" s="3" t="n">
        <v>28000</v>
      </c>
      <c r="H168" s="3" t="n">
        <v>0</v>
      </c>
      <c r="I168" s="3" t="n">
        <v/>
      </c>
    </row>
    <row r="169">
      <c r="A169" t="n">
        <v>41110000</v>
      </c>
      <c r="B169" s="2" t="n">
        <v>45882</v>
      </c>
      <c r="C169" t="inlineStr">
        <is>
          <t>BQE</t>
        </is>
      </c>
      <c r="D169" t="inlineStr">
        <is>
          <t>BQ08007</t>
        </is>
      </c>
      <c r="E169" t="inlineStr">
        <is>
          <t>VER ESP BAMBOO IMMO/GUY PATRICK</t>
        </is>
      </c>
      <c r="F169" t="inlineStr">
        <is>
          <t>S</t>
        </is>
      </c>
      <c r="G169" s="3" t="n">
        <v>0</v>
      </c>
      <c r="H169" s="3" t="n">
        <v>16100</v>
      </c>
      <c r="I169" s="3" t="n">
        <v>-16100</v>
      </c>
    </row>
    <row r="170">
      <c r="A170" t="n">
        <v>41110000</v>
      </c>
      <c r="B170" s="2" t="n">
        <v>45882</v>
      </c>
      <c r="C170" t="inlineStr">
        <is>
          <t>COM</t>
        </is>
      </c>
      <c r="D170" t="inlineStr">
        <is>
          <t>COM08006</t>
        </is>
      </c>
      <c r="E170" t="inlineStr">
        <is>
          <t>FACTURATION AOUT 2025</t>
        </is>
      </c>
      <c r="F170" t="inlineStr">
        <is>
          <t>S</t>
        </is>
      </c>
      <c r="G170" s="3" t="n">
        <v>16100</v>
      </c>
      <c r="H170" s="3" t="n">
        <v>0</v>
      </c>
      <c r="I170" s="3" t="n">
        <v/>
      </c>
    </row>
    <row r="171">
      <c r="A171" t="n">
        <v>41110000</v>
      </c>
      <c r="B171" s="2" t="n">
        <v>45883</v>
      </c>
      <c r="C171" t="inlineStr">
        <is>
          <t>BQE</t>
        </is>
      </c>
      <c r="D171" t="inlineStr">
        <is>
          <t>BQ08008</t>
        </is>
      </c>
      <c r="E171" t="inlineStr">
        <is>
          <t>VER ESP BAMBOO IMMO/GUY PATRICK</t>
        </is>
      </c>
      <c r="F171" t="inlineStr">
        <is>
          <t>S</t>
        </is>
      </c>
      <c r="G171" s="3" t="n">
        <v>0</v>
      </c>
      <c r="H171" s="3" t="n">
        <v>75000</v>
      </c>
      <c r="I171" s="3" t="n">
        <v>-75000</v>
      </c>
    </row>
    <row r="172">
      <c r="A172" t="n">
        <v>41110000</v>
      </c>
      <c r="B172" s="2" t="n">
        <v>45883</v>
      </c>
      <c r="C172" t="inlineStr">
        <is>
          <t>COM</t>
        </is>
      </c>
      <c r="D172" t="inlineStr">
        <is>
          <t>COM08007</t>
        </is>
      </c>
      <c r="E172" t="inlineStr">
        <is>
          <t>FACTURATION AOUT 2025</t>
        </is>
      </c>
      <c r="F172" t="inlineStr">
        <is>
          <t>S</t>
        </is>
      </c>
      <c r="G172" s="3" t="n">
        <v>75000</v>
      </c>
      <c r="H172" s="3" t="n">
        <v>0</v>
      </c>
      <c r="I172" s="3" t="n">
        <v/>
      </c>
    </row>
    <row r="173">
      <c r="A173" t="n">
        <v>41110000</v>
      </c>
      <c r="B173" s="2" t="n">
        <v>45887</v>
      </c>
      <c r="C173" t="inlineStr">
        <is>
          <t>BQE</t>
        </is>
      </c>
      <c r="D173" t="inlineStr">
        <is>
          <t>BQ08009</t>
        </is>
      </c>
      <c r="E173" t="inlineStr">
        <is>
          <t>VER ESP PHILIPPE</t>
        </is>
      </c>
      <c r="F173" t="inlineStr">
        <is>
          <t>S</t>
        </is>
      </c>
      <c r="G173" s="3" t="n">
        <v>0</v>
      </c>
      <c r="H173" s="3" t="n">
        <v>70000</v>
      </c>
      <c r="I173" s="3" t="n">
        <v>-70000</v>
      </c>
    </row>
    <row r="174">
      <c r="A174" t="n">
        <v>41110000</v>
      </c>
      <c r="B174" s="2" t="n">
        <v>45887</v>
      </c>
      <c r="C174" t="inlineStr">
        <is>
          <t>BQE</t>
        </is>
      </c>
      <c r="D174" t="inlineStr">
        <is>
          <t>BQ08010</t>
        </is>
      </c>
      <c r="E174" t="inlineStr">
        <is>
          <t>VER ESP JENNIFER</t>
        </is>
      </c>
      <c r="F174" t="inlineStr">
        <is>
          <t>S</t>
        </is>
      </c>
      <c r="G174" s="3" t="n">
        <v>0</v>
      </c>
      <c r="H174" s="3" t="n">
        <v>70000</v>
      </c>
      <c r="I174" s="3" t="n">
        <v>-140000</v>
      </c>
    </row>
    <row r="175">
      <c r="A175" t="n">
        <v>41110000</v>
      </c>
      <c r="B175" s="2" t="n">
        <v>45887</v>
      </c>
      <c r="C175" t="inlineStr">
        <is>
          <t>COM</t>
        </is>
      </c>
      <c r="D175" t="inlineStr">
        <is>
          <t>COM08008</t>
        </is>
      </c>
      <c r="E175" t="inlineStr">
        <is>
          <t>FACTURATION AOUT 2025</t>
        </is>
      </c>
      <c r="F175" t="inlineStr">
        <is>
          <t>S</t>
        </is>
      </c>
      <c r="G175" s="3" t="n">
        <v>70000</v>
      </c>
      <c r="H175" s="3" t="n">
        <v>0</v>
      </c>
      <c r="I175" s="3" t="n">
        <v>-70000</v>
      </c>
    </row>
    <row r="176">
      <c r="A176" t="n">
        <v>41110000</v>
      </c>
      <c r="B176" s="2" t="n">
        <v>45887</v>
      </c>
      <c r="C176" t="inlineStr">
        <is>
          <t>COM</t>
        </is>
      </c>
      <c r="D176" t="inlineStr">
        <is>
          <t>COM08009</t>
        </is>
      </c>
      <c r="E176" t="inlineStr">
        <is>
          <t>FACTURATION AOUT 2025</t>
        </is>
      </c>
      <c r="F176" t="inlineStr">
        <is>
          <t>S</t>
        </is>
      </c>
      <c r="G176" s="3" t="n">
        <v>70000</v>
      </c>
      <c r="H176" s="3" t="n">
        <v>0</v>
      </c>
      <c r="I176" s="3" t="n">
        <v/>
      </c>
    </row>
    <row r="177">
      <c r="A177" t="n">
        <v>41110000</v>
      </c>
      <c r="B177" s="2" t="n">
        <v>45891</v>
      </c>
      <c r="C177" t="inlineStr">
        <is>
          <t>BQE</t>
        </is>
      </c>
      <c r="D177" t="inlineStr">
        <is>
          <t>BQ08011</t>
        </is>
      </c>
      <c r="E177" t="inlineStr">
        <is>
          <t>VER ESP GUY PATRICK</t>
        </is>
      </c>
      <c r="F177" t="inlineStr">
        <is>
          <t>S</t>
        </is>
      </c>
      <c r="G177" s="3" t="n">
        <v>0</v>
      </c>
      <c r="H177" s="3" t="n">
        <v>50050</v>
      </c>
      <c r="I177" s="3" t="n">
        <v>-50050</v>
      </c>
    </row>
    <row r="178">
      <c r="A178" t="n">
        <v>41110000</v>
      </c>
      <c r="B178" s="2" t="n">
        <v>45891</v>
      </c>
      <c r="C178" t="inlineStr">
        <is>
          <t>BQE</t>
        </is>
      </c>
      <c r="D178" t="inlineStr">
        <is>
          <t>BQ08012</t>
        </is>
      </c>
      <c r="E178" t="inlineStr">
        <is>
          <t>VER ESP BAMBOO IMMO GUY PATRICK</t>
        </is>
      </c>
      <c r="F178" t="inlineStr">
        <is>
          <t>S</t>
        </is>
      </c>
      <c r="G178" s="3" t="n">
        <v>0</v>
      </c>
      <c r="H178" s="3" t="n">
        <v>36000</v>
      </c>
      <c r="I178" s="3" t="n">
        <v>-86050</v>
      </c>
    </row>
    <row r="179">
      <c r="A179" t="n">
        <v>41110000</v>
      </c>
      <c r="B179" s="2" t="n">
        <v>45891</v>
      </c>
      <c r="C179" t="inlineStr">
        <is>
          <t>COM</t>
        </is>
      </c>
      <c r="D179" t="inlineStr">
        <is>
          <t>COM08010</t>
        </is>
      </c>
      <c r="E179" t="inlineStr">
        <is>
          <t>FACTURATION AOUT 2025</t>
        </is>
      </c>
      <c r="F179" t="inlineStr">
        <is>
          <t>S</t>
        </is>
      </c>
      <c r="G179" s="3" t="n">
        <v>50050</v>
      </c>
      <c r="H179" s="3" t="n">
        <v>0</v>
      </c>
      <c r="I179" s="3" t="n">
        <v>-36000</v>
      </c>
    </row>
    <row r="180">
      <c r="A180" t="n">
        <v>41110000</v>
      </c>
      <c r="B180" s="2" t="n">
        <v>45895</v>
      </c>
      <c r="C180" t="inlineStr">
        <is>
          <t>COM</t>
        </is>
      </c>
      <c r="D180" t="inlineStr">
        <is>
          <t>COM08011</t>
        </is>
      </c>
      <c r="E180" t="inlineStr">
        <is>
          <t>FACTURATION AOUT 2025</t>
        </is>
      </c>
      <c r="F180" t="inlineStr">
        <is>
          <t>S</t>
        </is>
      </c>
      <c r="G180" s="3" t="n">
        <v>36000</v>
      </c>
      <c r="H180" s="3" t="n">
        <v>0</v>
      </c>
      <c r="I180" s="3" t="n">
        <v/>
      </c>
    </row>
    <row r="181">
      <c r="A181" t="n">
        <v>41110000</v>
      </c>
      <c r="B181" s="2" t="n">
        <v>45908</v>
      </c>
      <c r="C181" t="inlineStr">
        <is>
          <t>BQE</t>
        </is>
      </c>
      <c r="D181" t="inlineStr">
        <is>
          <t>BQ09003</t>
        </is>
      </c>
      <c r="E181" t="inlineStr">
        <is>
          <t>VERSEMENT ESP CREPIN</t>
        </is>
      </c>
      <c r="F181" t="inlineStr">
        <is>
          <t>Y</t>
        </is>
      </c>
      <c r="G181" s="3" t="n">
        <v>0</v>
      </c>
      <c r="H181" s="3" t="n">
        <v>31500</v>
      </c>
      <c r="I181" s="3" t="n">
        <v>-31500</v>
      </c>
    </row>
    <row r="182">
      <c r="A182" t="n">
        <v>41110000</v>
      </c>
      <c r="B182" s="2" t="n">
        <v>45908</v>
      </c>
      <c r="C182" t="inlineStr">
        <is>
          <t>BQE</t>
        </is>
      </c>
      <c r="D182" t="inlineStr">
        <is>
          <t>BQ09004</t>
        </is>
      </c>
      <c r="E182" t="inlineStr">
        <is>
          <t>VERSEMENT ESP/GUY PATRICK</t>
        </is>
      </c>
      <c r="F182" t="inlineStr">
        <is>
          <t>V</t>
        </is>
      </c>
      <c r="G182" s="3" t="n">
        <v>0</v>
      </c>
      <c r="H182" s="3" t="n">
        <v>69300</v>
      </c>
      <c r="I182" s="3" t="n">
        <v>-100800</v>
      </c>
    </row>
    <row r="183">
      <c r="A183" t="n">
        <v>41110000</v>
      </c>
      <c r="B183" s="2" t="n">
        <v>45908</v>
      </c>
      <c r="C183" t="inlineStr">
        <is>
          <t>COM</t>
        </is>
      </c>
      <c r="D183" t="inlineStr">
        <is>
          <t>COM09002</t>
        </is>
      </c>
      <c r="E183" t="inlineStr">
        <is>
          <t>FACTURATION SEPTEMBRE 2025</t>
        </is>
      </c>
      <c r="F183" t="inlineStr">
        <is>
          <t>Y</t>
        </is>
      </c>
      <c r="G183" s="3" t="n">
        <v>31500</v>
      </c>
      <c r="H183" s="3" t="n">
        <v>0</v>
      </c>
      <c r="I183" s="3" t="n">
        <v>-69300</v>
      </c>
    </row>
    <row r="184">
      <c r="A184" t="n">
        <v>41110000</v>
      </c>
      <c r="B184" s="2" t="n">
        <v>45908</v>
      </c>
      <c r="C184" t="inlineStr">
        <is>
          <t>COM</t>
        </is>
      </c>
      <c r="D184" t="inlineStr">
        <is>
          <t>COM09003</t>
        </is>
      </c>
      <c r="E184" t="inlineStr">
        <is>
          <t>FACTURATION SEPTEMBRE 2025</t>
        </is>
      </c>
      <c r="F184" t="inlineStr">
        <is>
          <t>V</t>
        </is>
      </c>
      <c r="G184" s="3" t="n">
        <v>69300</v>
      </c>
      <c r="H184" s="3" t="n">
        <v>0</v>
      </c>
      <c r="I184" s="3" t="n">
        <v/>
      </c>
    </row>
    <row r="185">
      <c r="A185" t="n">
        <v>41110000</v>
      </c>
      <c r="B185" s="2" t="n">
        <v>45910</v>
      </c>
      <c r="C185" t="inlineStr">
        <is>
          <t>BQE</t>
        </is>
      </c>
      <c r="D185" t="inlineStr">
        <is>
          <t>BQ09001</t>
        </is>
      </c>
      <c r="E185" t="inlineStr">
        <is>
          <t>VIR ORDRE PARIE MUTUEL UB</t>
        </is>
      </c>
      <c r="F185" t="inlineStr">
        <is>
          <t>AD</t>
        </is>
      </c>
      <c r="G185" s="3" t="n">
        <v>0</v>
      </c>
      <c r="H185" s="3" t="n">
        <v>136500</v>
      </c>
      <c r="I185" s="3" t="n">
        <v>-136500</v>
      </c>
    </row>
    <row r="186">
      <c r="A186" t="n">
        <v>41110000</v>
      </c>
      <c r="B186" s="2" t="n">
        <v>45910</v>
      </c>
      <c r="C186" t="inlineStr">
        <is>
          <t>COM</t>
        </is>
      </c>
      <c r="D186" t="inlineStr">
        <is>
          <t>COM09001</t>
        </is>
      </c>
      <c r="E186" t="inlineStr">
        <is>
          <t>FACTURATION SEPTEMBRE 2025</t>
        </is>
      </c>
      <c r="F186" t="inlineStr">
        <is>
          <t>AD</t>
        </is>
      </c>
      <c r="G186" s="3" t="n">
        <v>136500</v>
      </c>
      <c r="H186" s="3" t="n">
        <v>0</v>
      </c>
      <c r="I186" s="3" t="n">
        <v/>
      </c>
    </row>
    <row r="187">
      <c r="A187" t="n">
        <v>41110000</v>
      </c>
      <c r="B187" s="2" t="n">
        <v>45911</v>
      </c>
      <c r="C187" t="inlineStr">
        <is>
          <t>BQE</t>
        </is>
      </c>
      <c r="D187" t="inlineStr">
        <is>
          <t>BQ09005</t>
        </is>
      </c>
      <c r="E187" t="inlineStr">
        <is>
          <t>VERSEMENT ESP/GUY PATRICK</t>
        </is>
      </c>
      <c r="F187" t="inlineStr">
        <is>
          <t>W</t>
        </is>
      </c>
      <c r="G187" s="3" t="n">
        <v>0</v>
      </c>
      <c r="H187" s="3" t="n">
        <v>67000</v>
      </c>
      <c r="I187" s="3" t="n">
        <v>-67000</v>
      </c>
    </row>
    <row r="188">
      <c r="A188" t="n">
        <v>41110000</v>
      </c>
      <c r="B188" s="2" t="n">
        <v>45911</v>
      </c>
      <c r="C188" t="inlineStr">
        <is>
          <t>BQE</t>
        </is>
      </c>
      <c r="D188" t="inlineStr">
        <is>
          <t>BQ09006</t>
        </is>
      </c>
      <c r="E188" t="inlineStr">
        <is>
          <t>VERSEMENT ESP CREPIN OKOUDIE</t>
        </is>
      </c>
      <c r="F188" t="inlineStr">
        <is>
          <t>AB</t>
        </is>
      </c>
      <c r="G188" s="3" t="n">
        <v>0</v>
      </c>
      <c r="H188" s="3" t="n">
        <v>11900</v>
      </c>
      <c r="I188" s="3" t="n">
        <v>-78900</v>
      </c>
    </row>
    <row r="189">
      <c r="A189" t="n">
        <v>41110000</v>
      </c>
      <c r="B189" s="2" t="n">
        <v>45911</v>
      </c>
      <c r="C189" t="inlineStr">
        <is>
          <t>COM</t>
        </is>
      </c>
      <c r="D189" t="inlineStr">
        <is>
          <t>COM09004</t>
        </is>
      </c>
      <c r="E189" t="inlineStr">
        <is>
          <t>FACTURATION SEPTEMBRE 2025</t>
        </is>
      </c>
      <c r="F189" t="inlineStr">
        <is>
          <t>AB</t>
        </is>
      </c>
      <c r="G189" s="3" t="n">
        <v>11900</v>
      </c>
      <c r="H189" s="3" t="n">
        <v>0</v>
      </c>
      <c r="I189" s="3" t="n">
        <v>-67000</v>
      </c>
    </row>
    <row r="190">
      <c r="A190" t="n">
        <v>41110000</v>
      </c>
      <c r="B190" s="2" t="n">
        <v>45911</v>
      </c>
      <c r="C190" t="inlineStr">
        <is>
          <t>COM</t>
        </is>
      </c>
      <c r="D190" t="inlineStr">
        <is>
          <t>COM09005</t>
        </is>
      </c>
      <c r="E190" t="inlineStr">
        <is>
          <t>FACTURATION SEPTEMBRE 2025</t>
        </is>
      </c>
      <c r="F190" t="inlineStr">
        <is>
          <t>W</t>
        </is>
      </c>
      <c r="G190" s="3" t="n">
        <v>67000</v>
      </c>
      <c r="H190" s="3" t="n">
        <v>0</v>
      </c>
      <c r="I190" s="3" t="n">
        <v/>
      </c>
    </row>
    <row r="191">
      <c r="A191" t="n">
        <v>41110000</v>
      </c>
      <c r="B191" s="2" t="n">
        <v>45912</v>
      </c>
      <c r="C191" t="inlineStr">
        <is>
          <t>BQE</t>
        </is>
      </c>
      <c r="D191" t="inlineStr">
        <is>
          <t>BQ09007</t>
        </is>
      </c>
      <c r="E191" t="inlineStr">
        <is>
          <t>VERSEMENT ESP NZIENGUI PHILLIPPE</t>
        </is>
      </c>
      <c r="F191" t="inlineStr">
        <is>
          <t>U</t>
        </is>
      </c>
      <c r="G191" s="3" t="n">
        <v>0</v>
      </c>
      <c r="H191" s="3" t="n">
        <v>70000</v>
      </c>
      <c r="I191" s="3" t="n">
        <v>-70000</v>
      </c>
    </row>
    <row r="192">
      <c r="A192" t="n">
        <v>41110000</v>
      </c>
      <c r="B192" s="2" t="n">
        <v>45912</v>
      </c>
      <c r="C192" t="inlineStr">
        <is>
          <t>BQE</t>
        </is>
      </c>
      <c r="D192" t="inlineStr">
        <is>
          <t>BQ09008</t>
        </is>
      </c>
      <c r="E192" t="inlineStr">
        <is>
          <t>VERSEMENT ESP GUY PATRICK</t>
        </is>
      </c>
      <c r="F192" t="inlineStr">
        <is>
          <t>AA</t>
        </is>
      </c>
      <c r="G192" s="3" t="n">
        <v>0</v>
      </c>
      <c r="H192" s="3" t="n">
        <v>16100</v>
      </c>
      <c r="I192" s="3" t="n">
        <v>-86100</v>
      </c>
    </row>
    <row r="193">
      <c r="A193" t="n">
        <v>41110000</v>
      </c>
      <c r="B193" s="2" t="n">
        <v>45912</v>
      </c>
      <c r="C193" t="inlineStr">
        <is>
          <t>COM</t>
        </is>
      </c>
      <c r="D193" t="inlineStr">
        <is>
          <t>COM09006</t>
        </is>
      </c>
      <c r="E193" t="inlineStr">
        <is>
          <t>FACTURATION SEPTEMBRE 2025</t>
        </is>
      </c>
      <c r="F193" t="inlineStr">
        <is>
          <t>U</t>
        </is>
      </c>
      <c r="G193" s="3" t="n">
        <v>70000</v>
      </c>
      <c r="H193" s="3" t="n">
        <v>0</v>
      </c>
      <c r="I193" s="3" t="n">
        <v>-16100</v>
      </c>
    </row>
    <row r="194">
      <c r="A194" t="n">
        <v>41110000</v>
      </c>
      <c r="B194" s="2" t="n">
        <v>45912</v>
      </c>
      <c r="C194" t="inlineStr">
        <is>
          <t>COM</t>
        </is>
      </c>
      <c r="D194" t="inlineStr">
        <is>
          <t>COM09007</t>
        </is>
      </c>
      <c r="E194" t="inlineStr">
        <is>
          <t>FACTURATION SEPTEMBRE 2025</t>
        </is>
      </c>
      <c r="F194" t="inlineStr">
        <is>
          <t>AA</t>
        </is>
      </c>
      <c r="G194" s="3" t="n">
        <v>16100</v>
      </c>
      <c r="H194" s="3" t="n">
        <v>0</v>
      </c>
      <c r="I194" s="3" t="n">
        <v/>
      </c>
    </row>
    <row r="195">
      <c r="A195" t="n">
        <v>41110000</v>
      </c>
      <c r="B195" s="2" t="n">
        <v>45922</v>
      </c>
      <c r="C195" t="inlineStr">
        <is>
          <t>BQE</t>
        </is>
      </c>
      <c r="D195" t="inlineStr">
        <is>
          <t>BQ09010</t>
        </is>
      </c>
      <c r="E195" t="inlineStr">
        <is>
          <t>VRESEMENT ESP GUY PATRICK</t>
        </is>
      </c>
      <c r="F195" t="inlineStr">
        <is>
          <t>Z</t>
        </is>
      </c>
      <c r="G195" s="3" t="n">
        <v>0</v>
      </c>
      <c r="H195" s="3" t="n">
        <v>30100</v>
      </c>
      <c r="I195" s="3" t="n">
        <v>-30100</v>
      </c>
    </row>
    <row r="196">
      <c r="A196" t="n">
        <v>41110000</v>
      </c>
      <c r="B196" s="2" t="n">
        <v>45922</v>
      </c>
      <c r="C196" t="inlineStr">
        <is>
          <t>COM</t>
        </is>
      </c>
      <c r="D196" t="inlineStr">
        <is>
          <t>COM09008</t>
        </is>
      </c>
      <c r="E196" t="inlineStr">
        <is>
          <t>FACTURATION SEPTEMBRE 2025</t>
        </is>
      </c>
      <c r="F196" t="inlineStr">
        <is>
          <t>Z</t>
        </is>
      </c>
      <c r="G196" s="3" t="n">
        <v>30100</v>
      </c>
      <c r="H196" s="3" t="n">
        <v>0</v>
      </c>
      <c r="I196" s="3" t="n">
        <v/>
      </c>
    </row>
    <row r="197">
      <c r="A197" t="n">
        <v>41110000</v>
      </c>
      <c r="B197" s="2" t="n">
        <v>45929</v>
      </c>
      <c r="C197" t="inlineStr">
        <is>
          <t>BQE</t>
        </is>
      </c>
      <c r="D197" t="inlineStr">
        <is>
          <t>BQ09011</t>
        </is>
      </c>
      <c r="E197" t="inlineStr">
        <is>
          <t>VRESEMENT ESP ULYSSE</t>
        </is>
      </c>
      <c r="F197" t="inlineStr">
        <is>
          <t>AC</t>
        </is>
      </c>
      <c r="G197" s="3" t="n">
        <v>0</v>
      </c>
      <c r="H197" s="3" t="n">
        <v>10500</v>
      </c>
      <c r="I197" s="3" t="n">
        <v>-10500</v>
      </c>
    </row>
    <row r="198">
      <c r="A198" t="n">
        <v>41110000</v>
      </c>
      <c r="B198" s="2" t="n">
        <v>45929</v>
      </c>
      <c r="C198" t="inlineStr">
        <is>
          <t>COM</t>
        </is>
      </c>
      <c r="D198" t="inlineStr">
        <is>
          <t>COM09009</t>
        </is>
      </c>
      <c r="E198" t="inlineStr">
        <is>
          <t>FACTURATION SEPTEMBRE 2025</t>
        </is>
      </c>
      <c r="F198" t="inlineStr">
        <is>
          <t>AC</t>
        </is>
      </c>
      <c r="G198" s="3" t="n">
        <v>10500</v>
      </c>
      <c r="H198" s="3" t="n">
        <v>0</v>
      </c>
      <c r="I198" s="3" t="n">
        <v/>
      </c>
    </row>
    <row r="199">
      <c r="A199" t="n">
        <v>41110000</v>
      </c>
      <c r="B199" s="2" t="n">
        <v>45930</v>
      </c>
      <c r="C199" t="inlineStr">
        <is>
          <t>BQE</t>
        </is>
      </c>
      <c r="D199" t="inlineStr">
        <is>
          <t>BQ09012</t>
        </is>
      </c>
      <c r="E199" t="inlineStr">
        <is>
          <t>VRESEMENT ESP GUY PATRICK</t>
        </is>
      </c>
      <c r="F199" t="inlineStr">
        <is>
          <t>X</t>
        </is>
      </c>
      <c r="G199" s="3" t="n">
        <v>0</v>
      </c>
      <c r="H199" s="3" t="n">
        <v>50050</v>
      </c>
      <c r="I199" s="3" t="n">
        <v>-50050</v>
      </c>
    </row>
    <row r="200">
      <c r="A200" t="n">
        <v>41110000</v>
      </c>
      <c r="B200" s="2" t="n">
        <v>45930</v>
      </c>
      <c r="C200" t="inlineStr">
        <is>
          <t>COM</t>
        </is>
      </c>
      <c r="D200" t="inlineStr">
        <is>
          <t>COM09010</t>
        </is>
      </c>
      <c r="E200" t="inlineStr">
        <is>
          <t>FACTURATION SEPTEMBRE 2025</t>
        </is>
      </c>
      <c r="F200" t="inlineStr">
        <is>
          <t>X</t>
        </is>
      </c>
      <c r="G200" s="3" t="n">
        <v>50050</v>
      </c>
      <c r="H200" s="3" t="n">
        <v>0</v>
      </c>
      <c r="I200" s="3" t="n">
        <v/>
      </c>
    </row>
    <row r="201">
      <c r="A201" t="n">
        <v>41110000</v>
      </c>
      <c r="B201" s="2" t="n">
        <v>45931</v>
      </c>
      <c r="C201" t="inlineStr">
        <is>
          <t>BQE</t>
        </is>
      </c>
      <c r="D201" t="inlineStr">
        <is>
          <t>BQE10001</t>
        </is>
      </c>
      <c r="E201" t="inlineStr">
        <is>
          <t>VERSEMENT ESPECE BIMMO/GUY PATRICK</t>
        </is>
      </c>
      <c r="F201" t="inlineStr">
        <is>
          <t>AH</t>
        </is>
      </c>
      <c r="G201" s="3" t="n">
        <v>0</v>
      </c>
      <c r="H201" s="3" t="n">
        <v>70000</v>
      </c>
      <c r="I201" s="3" t="n">
        <v>-70000</v>
      </c>
    </row>
    <row r="202">
      <c r="A202" t="n">
        <v>41110000</v>
      </c>
      <c r="B202" s="2" t="n">
        <v>45931</v>
      </c>
      <c r="C202" t="inlineStr">
        <is>
          <t>COM</t>
        </is>
      </c>
      <c r="D202" t="inlineStr">
        <is>
          <t>COM10001</t>
        </is>
      </c>
      <c r="E202" t="inlineStr">
        <is>
          <t>FACTURATION OCTOBRE 2025</t>
        </is>
      </c>
      <c r="F202" t="inlineStr">
        <is>
          <t>AH</t>
        </is>
      </c>
      <c r="G202" s="3" t="n">
        <v>522800</v>
      </c>
      <c r="H202" s="3" t="n">
        <v>0</v>
      </c>
      <c r="I202" s="3" t="n">
        <v>452800</v>
      </c>
    </row>
    <row r="203">
      <c r="A203" t="n">
        <v>41110000</v>
      </c>
      <c r="B203" s="2" t="n">
        <v>45937</v>
      </c>
      <c r="C203" t="inlineStr">
        <is>
          <t>BQE</t>
        </is>
      </c>
      <c r="D203" t="inlineStr">
        <is>
          <t>BQE10002</t>
        </is>
      </c>
      <c r="E203" t="inlineStr">
        <is>
          <t>VERSEMENT ESPECE BIMMO/GUY PATRICK</t>
        </is>
      </c>
      <c r="F203" t="inlineStr">
        <is>
          <t>AH</t>
        </is>
      </c>
      <c r="G203" s="3" t="n">
        <v>0</v>
      </c>
      <c r="H203" s="3" t="n">
        <v>24500</v>
      </c>
      <c r="I203" s="3" t="n">
        <v>428300</v>
      </c>
    </row>
    <row r="204">
      <c r="A204" t="n">
        <v>41110000</v>
      </c>
      <c r="B204" s="2" t="n">
        <v>45939</v>
      </c>
      <c r="C204" t="inlineStr">
        <is>
          <t>BQE</t>
        </is>
      </c>
      <c r="D204" t="inlineStr">
        <is>
          <t>BQE10004</t>
        </is>
      </c>
      <c r="E204" t="inlineStr">
        <is>
          <t>VERSEMENT ESPECE BIMMO/GUY PATRICK</t>
        </is>
      </c>
      <c r="F204" t="inlineStr">
        <is>
          <t>AH</t>
        </is>
      </c>
      <c r="G204" s="3" t="n">
        <v>0</v>
      </c>
      <c r="H204" s="3" t="n">
        <v>46200</v>
      </c>
      <c r="I204" s="3" t="n">
        <v>382100</v>
      </c>
    </row>
    <row r="205">
      <c r="A205" t="n">
        <v>41110000</v>
      </c>
      <c r="B205" s="2" t="n">
        <v>45939</v>
      </c>
      <c r="C205" t="inlineStr">
        <is>
          <t>BQE</t>
        </is>
      </c>
      <c r="D205" t="inlineStr">
        <is>
          <t>BQE10005</t>
        </is>
      </c>
      <c r="E205" t="inlineStr">
        <is>
          <t>VERSEMENT ESPECE BIMMO/GUY PATRICK</t>
        </is>
      </c>
      <c r="F205" t="inlineStr">
        <is>
          <t>AH</t>
        </is>
      </c>
      <c r="G205" s="3" t="n">
        <v>0</v>
      </c>
      <c r="H205" s="3" t="n">
        <v>43400</v>
      </c>
      <c r="I205" s="3" t="n">
        <v>338700</v>
      </c>
    </row>
    <row r="206">
      <c r="A206" t="n">
        <v>41110000</v>
      </c>
      <c r="B206" s="2" t="n">
        <v>45939</v>
      </c>
      <c r="C206" t="inlineStr">
        <is>
          <t>BQE</t>
        </is>
      </c>
      <c r="D206" t="inlineStr">
        <is>
          <t>BQE10006</t>
        </is>
      </c>
      <c r="E206" t="inlineStr">
        <is>
          <t>VERSEMENT ESPECE BIMMO/GUY PATRICK</t>
        </is>
      </c>
      <c r="F206" t="inlineStr">
        <is>
          <t>AH</t>
        </is>
      </c>
      <c r="G206" s="3" t="n">
        <v>0</v>
      </c>
      <c r="H206" s="3" t="n">
        <v>21000</v>
      </c>
      <c r="I206" s="3" t="n">
        <v>317700</v>
      </c>
    </row>
    <row r="207">
      <c r="A207" t="n">
        <v>41110000</v>
      </c>
      <c r="B207" s="2" t="n">
        <v>45940</v>
      </c>
      <c r="C207" t="inlineStr">
        <is>
          <t>BQE</t>
        </is>
      </c>
      <c r="D207" t="inlineStr">
        <is>
          <t>BQE10007</t>
        </is>
      </c>
      <c r="E207" t="inlineStr">
        <is>
          <t>VERSEMENT ESPECE BIMMO/GUY PATRICK</t>
        </is>
      </c>
      <c r="F207" t="inlineStr">
        <is>
          <t>AH</t>
        </is>
      </c>
      <c r="G207" s="3" t="n">
        <v>0</v>
      </c>
      <c r="H207" s="3" t="n">
        <v>70000</v>
      </c>
      <c r="I207" s="3" t="n">
        <v>247700</v>
      </c>
    </row>
    <row r="208">
      <c r="A208" t="n">
        <v>41110000</v>
      </c>
      <c r="B208" s="2" t="n">
        <v>45943</v>
      </c>
      <c r="C208" t="inlineStr">
        <is>
          <t>BQE</t>
        </is>
      </c>
      <c r="D208" t="inlineStr">
        <is>
          <t>BQE10009</t>
        </is>
      </c>
      <c r="E208" t="inlineStr">
        <is>
          <t>VERSEMENT ESPECE BIMMO/GUY PATRICK</t>
        </is>
      </c>
      <c r="F208" t="inlineStr">
        <is>
          <t>AH</t>
        </is>
      </c>
      <c r="G208" s="3" t="n">
        <v>0</v>
      </c>
      <c r="H208" s="3" t="n">
        <v>67000</v>
      </c>
      <c r="I208" s="3" t="n">
        <v>180700</v>
      </c>
    </row>
    <row r="209">
      <c r="A209" t="n">
        <v>41110000</v>
      </c>
      <c r="B209" s="2" t="n">
        <v>45943</v>
      </c>
      <c r="C209" t="inlineStr">
        <is>
          <t>BQE</t>
        </is>
      </c>
      <c r="D209" t="inlineStr">
        <is>
          <t>BQE10010</t>
        </is>
      </c>
      <c r="E209" t="inlineStr">
        <is>
          <t>VERSEMENT ESPECE BIMMO/GUY PATRICK</t>
        </is>
      </c>
      <c r="F209" t="inlineStr">
        <is>
          <t>AH</t>
        </is>
      </c>
      <c r="G209" s="3" t="n">
        <v>0</v>
      </c>
      <c r="H209" s="3" t="n">
        <v>17500</v>
      </c>
      <c r="I209" s="3" t="n">
        <v>163200</v>
      </c>
    </row>
    <row r="210">
      <c r="A210" t="n">
        <v>41110000</v>
      </c>
      <c r="B210" s="2" t="n">
        <v>45945</v>
      </c>
      <c r="C210" t="inlineStr">
        <is>
          <t>BQE</t>
        </is>
      </c>
      <c r="D210" t="inlineStr">
        <is>
          <t>BQE10012</t>
        </is>
      </c>
      <c r="E210" t="inlineStr">
        <is>
          <t>VERSEMENT ESPECE BIMMO/GUY PATRICK</t>
        </is>
      </c>
      <c r="F210" t="inlineStr">
        <is>
          <t>AH</t>
        </is>
      </c>
      <c r="G210" s="3" t="n">
        <v>0</v>
      </c>
      <c r="H210" s="3" t="n">
        <v>75000</v>
      </c>
      <c r="I210" s="3" t="n">
        <v>88200</v>
      </c>
    </row>
    <row r="211">
      <c r="A211" t="n">
        <v>41110000</v>
      </c>
      <c r="B211" s="2" t="n">
        <v>45945</v>
      </c>
      <c r="C211" t="inlineStr">
        <is>
          <t>BQE</t>
        </is>
      </c>
      <c r="D211" t="inlineStr">
        <is>
          <t>BQE10013</t>
        </is>
      </c>
      <c r="E211" t="inlineStr">
        <is>
          <t>VERSEMENT ESPECE BIMMO/GUY PATRICK</t>
        </is>
      </c>
      <c r="F211" t="inlineStr">
        <is>
          <t>AH</t>
        </is>
      </c>
      <c r="G211" s="3" t="n">
        <v>0</v>
      </c>
      <c r="H211" s="3" t="n">
        <v>16100</v>
      </c>
      <c r="I211" s="3" t="n">
        <v>72100</v>
      </c>
    </row>
    <row r="212">
      <c r="A212" t="n">
        <v>41110000</v>
      </c>
      <c r="B212" s="2" t="n">
        <v>45946</v>
      </c>
      <c r="C212" t="inlineStr">
        <is>
          <t>BQE</t>
        </is>
      </c>
      <c r="D212" t="inlineStr">
        <is>
          <t>BQE10014</t>
        </is>
      </c>
      <c r="E212" t="inlineStr">
        <is>
          <t>VERSEMENT ESPECE BIMMO/GUY PATRICK</t>
        </is>
      </c>
      <c r="F212" t="inlineStr">
        <is>
          <t>AH</t>
        </is>
      </c>
      <c r="G212" s="3" t="n">
        <v>0</v>
      </c>
      <c r="H212" s="3" t="n">
        <v>56000</v>
      </c>
      <c r="I212" s="3" t="n">
        <v>16100</v>
      </c>
    </row>
    <row r="213">
      <c r="A213" t="n">
        <v>41110000</v>
      </c>
      <c r="B213" s="2" t="n">
        <v>45952</v>
      </c>
      <c r="C213" t="inlineStr">
        <is>
          <t>BQE</t>
        </is>
      </c>
      <c r="D213" t="inlineStr">
        <is>
          <t>BQE10015</t>
        </is>
      </c>
      <c r="E213" t="inlineStr">
        <is>
          <t>VERSEMENT ESPECE BIMMO/GUY PATRICK</t>
        </is>
      </c>
      <c r="F213" t="inlineStr">
        <is>
          <t>AH</t>
        </is>
      </c>
      <c r="G213" s="3" t="n">
        <v>0</v>
      </c>
      <c r="H213" s="3" t="n">
        <v>16100</v>
      </c>
      <c r="I213" s="3" t="n">
        <v/>
      </c>
    </row>
    <row r="214">
      <c r="A214" t="n">
        <v>41110000</v>
      </c>
      <c r="B214" s="2" t="n">
        <v>45965</v>
      </c>
      <c r="C214" t="inlineStr">
        <is>
          <t>BQE</t>
        </is>
      </c>
      <c r="D214" t="inlineStr">
        <is>
          <t>BQE11001</t>
        </is>
      </c>
      <c r="E214" t="inlineStr">
        <is>
          <t>VER ESP OKOUDIE</t>
        </is>
      </c>
      <c r="F214" t="inlineStr">
        <is>
          <t>AI</t>
        </is>
      </c>
      <c r="G214" s="3" t="n">
        <v>0</v>
      </c>
      <c r="H214" s="3" t="n">
        <v>31500</v>
      </c>
      <c r="I214" s="3" t="n">
        <v>-31500</v>
      </c>
    </row>
    <row r="215">
      <c r="A215" t="n">
        <v>41110000</v>
      </c>
      <c r="B215" s="2" t="n">
        <v>45966</v>
      </c>
      <c r="C215" t="inlineStr">
        <is>
          <t>BQE</t>
        </is>
      </c>
      <c r="D215" t="inlineStr">
        <is>
          <t>BQE11002</t>
        </is>
      </c>
      <c r="E215" t="inlineStr">
        <is>
          <t>VER ESP BIMMO GUY PATRICK</t>
        </is>
      </c>
      <c r="F215" t="inlineStr">
        <is>
          <t>AI</t>
        </is>
      </c>
      <c r="G215" s="3" t="n">
        <v>0</v>
      </c>
      <c r="H215" s="3" t="n">
        <v>50050</v>
      </c>
      <c r="I215" s="3" t="n">
        <v>-81550</v>
      </c>
    </row>
    <row r="216">
      <c r="A216" t="n">
        <v>41110000</v>
      </c>
      <c r="B216" s="2" t="n">
        <v>45966</v>
      </c>
      <c r="C216" t="inlineStr">
        <is>
          <t>BQE</t>
        </is>
      </c>
      <c r="D216" t="inlineStr">
        <is>
          <t>BQE11003</t>
        </is>
      </c>
      <c r="E216" t="inlineStr">
        <is>
          <t>VER ESP BIMMO GUY PATRICK</t>
        </is>
      </c>
      <c r="F216" t="inlineStr">
        <is>
          <t>AI</t>
        </is>
      </c>
      <c r="G216" s="3" t="n">
        <v>0</v>
      </c>
      <c r="H216" s="3" t="n">
        <v>45500</v>
      </c>
      <c r="I216" s="3" t="n">
        <v>-127050</v>
      </c>
    </row>
    <row r="217">
      <c r="A217" t="n">
        <v>41110000</v>
      </c>
      <c r="B217" s="2" t="n">
        <v>45971</v>
      </c>
      <c r="C217" t="inlineStr">
        <is>
          <t>BQE</t>
        </is>
      </c>
      <c r="D217" t="inlineStr">
        <is>
          <t>BQE11004</t>
        </is>
      </c>
      <c r="E217" t="inlineStr">
        <is>
          <t>VER ESP PHILIPPE</t>
        </is>
      </c>
      <c r="F217" t="inlineStr">
        <is>
          <t>AI</t>
        </is>
      </c>
      <c r="G217" s="3" t="n">
        <v>0</v>
      </c>
      <c r="H217" s="3" t="n">
        <v>70000</v>
      </c>
      <c r="I217" s="3" t="n">
        <v>-197050</v>
      </c>
    </row>
    <row r="218">
      <c r="A218" t="n">
        <v>41110000</v>
      </c>
      <c r="B218" s="2" t="n">
        <v>45972</v>
      </c>
      <c r="C218" t="inlineStr">
        <is>
          <t>BQE</t>
        </is>
      </c>
      <c r="D218" t="inlineStr">
        <is>
          <t>BQE11005</t>
        </is>
      </c>
      <c r="E218" t="inlineStr">
        <is>
          <t>VER ESP OKOUDIE</t>
        </is>
      </c>
      <c r="F218" t="inlineStr">
        <is>
          <t>AI</t>
        </is>
      </c>
      <c r="G218" s="3" t="n">
        <v>0</v>
      </c>
      <c r="H218" s="3" t="n">
        <v>11900</v>
      </c>
      <c r="I218" s="3" t="n">
        <v>-208950</v>
      </c>
    </row>
    <row r="219">
      <c r="A219" t="n">
        <v>41110000</v>
      </c>
      <c r="B219" s="2" t="n">
        <v>45973</v>
      </c>
      <c r="C219" t="inlineStr">
        <is>
          <t>BQE</t>
        </is>
      </c>
      <c r="D219" t="inlineStr">
        <is>
          <t>BQE11006</t>
        </is>
      </c>
      <c r="E219" t="inlineStr">
        <is>
          <t>VER ESP BIMMO GUY PATRICK</t>
        </is>
      </c>
      <c r="F219" t="inlineStr">
        <is>
          <t>AI</t>
        </is>
      </c>
      <c r="G219" s="3" t="n">
        <v>0</v>
      </c>
      <c r="H219" s="3" t="n">
        <v>70000</v>
      </c>
      <c r="I219" s="3" t="n">
        <v>-278950</v>
      </c>
    </row>
    <row r="220">
      <c r="A220" t="n">
        <v>41110000</v>
      </c>
      <c r="B220" s="2" t="n">
        <v>45974</v>
      </c>
      <c r="C220" t="inlineStr">
        <is>
          <t>BQE</t>
        </is>
      </c>
      <c r="D220" t="inlineStr">
        <is>
          <t>BQE11007</t>
        </is>
      </c>
      <c r="E220" t="inlineStr">
        <is>
          <t>VER ESP BIMMO GUY PATRICK</t>
        </is>
      </c>
      <c r="F220" t="inlineStr">
        <is>
          <t>AI</t>
        </is>
      </c>
      <c r="G220" s="3" t="n">
        <v>0</v>
      </c>
      <c r="H220" s="3" t="n">
        <v>75000</v>
      </c>
      <c r="I220" s="3" t="n">
        <v>-353950</v>
      </c>
    </row>
    <row r="221">
      <c r="A221" t="n">
        <v>41110000</v>
      </c>
      <c r="B221" s="2" t="n">
        <v>45975</v>
      </c>
      <c r="C221" t="inlineStr">
        <is>
          <t>BQE</t>
        </is>
      </c>
      <c r="D221" t="inlineStr">
        <is>
          <t>BQE11008</t>
        </is>
      </c>
      <c r="E221" t="inlineStr">
        <is>
          <t>VER ESP BIMMO GUY PATRICK</t>
        </is>
      </c>
      <c r="F221" t="inlineStr">
        <is>
          <t>AI</t>
        </is>
      </c>
      <c r="G221" s="3" t="n">
        <v>0</v>
      </c>
      <c r="H221" s="3" t="n">
        <v>16100</v>
      </c>
      <c r="I221" s="3" t="n">
        <v>-370050</v>
      </c>
    </row>
    <row r="222">
      <c r="A222" t="n">
        <v>41110000</v>
      </c>
      <c r="B222" s="2" t="n">
        <v>45975</v>
      </c>
      <c r="C222" t="inlineStr">
        <is>
          <t>BQE</t>
        </is>
      </c>
      <c r="D222" t="inlineStr">
        <is>
          <t>BQE11009</t>
        </is>
      </c>
      <c r="E222" t="inlineStr">
        <is>
          <t>VER ESP BIMMO GUY PATRICK</t>
        </is>
      </c>
      <c r="F222" t="inlineStr">
        <is>
          <t>AI</t>
        </is>
      </c>
      <c r="G222" s="3" t="n">
        <v>0</v>
      </c>
      <c r="H222" s="3" t="n">
        <v>17500</v>
      </c>
      <c r="I222" s="3" t="n">
        <v>-387550</v>
      </c>
    </row>
    <row r="223">
      <c r="A223" t="n">
        <v>41110000</v>
      </c>
      <c r="B223" s="2" t="n">
        <v>45978</v>
      </c>
      <c r="C223" t="inlineStr">
        <is>
          <t>BQE</t>
        </is>
      </c>
      <c r="D223" t="inlineStr">
        <is>
          <t>BQE11010</t>
        </is>
      </c>
      <c r="E223" t="inlineStr">
        <is>
          <t>VER ESP BIMMO GUY PATRICK</t>
        </is>
      </c>
      <c r="F223" t="inlineStr">
        <is>
          <t>AI</t>
        </is>
      </c>
      <c r="G223" s="3" t="n">
        <v>0</v>
      </c>
      <c r="H223" s="3" t="n">
        <v>33950</v>
      </c>
      <c r="I223" s="3" t="n">
        <v>-421500</v>
      </c>
    </row>
    <row r="224">
      <c r="A224" t="n">
        <v>41110000</v>
      </c>
      <c r="B224" s="2" t="n">
        <v>45991</v>
      </c>
      <c r="C224" t="inlineStr">
        <is>
          <t>COM</t>
        </is>
      </c>
      <c r="D224" t="inlineStr">
        <is>
          <t>COM11001</t>
        </is>
      </c>
      <c r="E224" t="inlineStr">
        <is>
          <t>COMMISSION NOV 25</t>
        </is>
      </c>
      <c r="F224" t="inlineStr">
        <is>
          <t>AI</t>
        </is>
      </c>
      <c r="G224" s="3" t="n">
        <v>421500</v>
      </c>
      <c r="H224" s="3" t="n">
        <v>0</v>
      </c>
      <c r="I224" s="3" t="n">
        <v/>
      </c>
    </row>
    <row r="225">
      <c r="A225" t="n">
        <v>44110000</v>
      </c>
      <c r="B225" s="2" t="n">
        <v>45667</v>
      </c>
      <c r="C225" t="inlineStr">
        <is>
          <t>RAN</t>
        </is>
      </c>
      <c r="D225" t="inlineStr">
        <is>
          <t>RAN07001</t>
        </is>
      </c>
      <c r="E225" t="inlineStr">
        <is>
          <t>IMPOTS SUR LES SOCIETES</t>
        </is>
      </c>
      <c r="F225" t="inlineStr"/>
      <c r="G225" s="3" t="n">
        <v>0</v>
      </c>
      <c r="H225" s="3" t="n">
        <v>500000</v>
      </c>
      <c r="I225" s="3" t="n">
        <v>-500000</v>
      </c>
    </row>
    <row r="226">
      <c r="A226" t="n">
        <v>44781000</v>
      </c>
      <c r="B226" s="2" t="n">
        <v>45667</v>
      </c>
      <c r="C226" t="inlineStr">
        <is>
          <t>RAN</t>
        </is>
      </c>
      <c r="D226" t="inlineStr">
        <is>
          <t>RAN07001</t>
        </is>
      </c>
      <c r="E226" t="inlineStr">
        <is>
          <t>TPS</t>
        </is>
      </c>
      <c r="F226" t="inlineStr">
        <is>
          <t>B</t>
        </is>
      </c>
      <c r="G226" s="3" t="n">
        <v>0</v>
      </c>
      <c r="H226" s="3" t="n">
        <v>83976</v>
      </c>
      <c r="I226" s="3" t="n">
        <v>-83976</v>
      </c>
    </row>
    <row r="227">
      <c r="A227" t="n">
        <v>44781000</v>
      </c>
      <c r="B227" s="2" t="n">
        <v>45685</v>
      </c>
      <c r="C227" t="inlineStr">
        <is>
          <t>OD</t>
        </is>
      </c>
      <c r="D227" t="inlineStr">
        <is>
          <t>OD01001</t>
        </is>
      </c>
      <c r="E227" t="inlineStr">
        <is>
          <t>FACTURE 2BNC NøFA2BNC052 DE JANVIER 2025</t>
        </is>
      </c>
      <c r="F227" t="inlineStr">
        <is>
          <t>B</t>
        </is>
      </c>
      <c r="G227" s="3" t="n">
        <v>0</v>
      </c>
      <c r="H227" s="3" t="n">
        <v>20994</v>
      </c>
      <c r="I227" s="3" t="n">
        <v>-104970</v>
      </c>
    </row>
    <row r="228">
      <c r="A228" t="n">
        <v>44781000</v>
      </c>
      <c r="B228" s="2" t="n">
        <v>45685</v>
      </c>
      <c r="C228" t="inlineStr">
        <is>
          <t>OD</t>
        </is>
      </c>
      <c r="D228" t="inlineStr">
        <is>
          <t>OD01003</t>
        </is>
      </c>
      <c r="E228" t="inlineStr">
        <is>
          <t>IMPRESSION CARNET 50 FEUILLE+SOUCHES</t>
        </is>
      </c>
      <c r="F228" t="inlineStr"/>
      <c r="G228" s="3" t="n">
        <v>0</v>
      </c>
      <c r="H228" s="3" t="n">
        <v>4484</v>
      </c>
      <c r="I228" s="3" t="n">
        <v>-109454</v>
      </c>
    </row>
    <row r="229">
      <c r="A229" t="n">
        <v>44781000</v>
      </c>
      <c r="B229" s="2" t="n">
        <v>45709</v>
      </c>
      <c r="C229" t="inlineStr">
        <is>
          <t>OD</t>
        </is>
      </c>
      <c r="D229" t="inlineStr">
        <is>
          <t>OD0201</t>
        </is>
      </c>
      <c r="E229" t="inlineStr">
        <is>
          <t>FACTURE 2BNC DE FEVRIER 2025</t>
        </is>
      </c>
      <c r="F229" t="inlineStr">
        <is>
          <t>B</t>
        </is>
      </c>
      <c r="G229" s="3" t="n">
        <v>0</v>
      </c>
      <c r="H229" s="3" t="n">
        <v>20994</v>
      </c>
      <c r="I229" s="3" t="n">
        <v>-130448</v>
      </c>
    </row>
    <row r="230">
      <c r="A230" t="n">
        <v>44781000</v>
      </c>
      <c r="B230" s="2" t="n">
        <v>45737</v>
      </c>
      <c r="C230" t="inlineStr">
        <is>
          <t>OD</t>
        </is>
      </c>
      <c r="D230" t="inlineStr">
        <is>
          <t>OD08001</t>
        </is>
      </c>
      <c r="E230" t="inlineStr">
        <is>
          <t>SUIVI COMPTABLE DE MARS 2025</t>
        </is>
      </c>
      <c r="F230" t="inlineStr">
        <is>
          <t>C</t>
        </is>
      </c>
      <c r="G230" s="3" t="n">
        <v>0</v>
      </c>
      <c r="H230" s="3" t="n">
        <v>20994</v>
      </c>
      <c r="I230" s="3" t="n">
        <v>-151442</v>
      </c>
    </row>
    <row r="231">
      <c r="A231" t="n">
        <v>44781000</v>
      </c>
      <c r="B231" s="2" t="n">
        <v>45772</v>
      </c>
      <c r="C231" t="inlineStr">
        <is>
          <t>OD</t>
        </is>
      </c>
      <c r="D231" t="inlineStr">
        <is>
          <t>OD04001</t>
        </is>
      </c>
      <c r="E231" t="inlineStr">
        <is>
          <t>FACTURE 2BNC DE AVRIL 2025</t>
        </is>
      </c>
      <c r="F231" t="inlineStr">
        <is>
          <t>C</t>
        </is>
      </c>
      <c r="G231" s="3" t="n">
        <v>0</v>
      </c>
      <c r="H231" s="3" t="n">
        <v>20994</v>
      </c>
      <c r="I231" s="3" t="n">
        <v>-172436</v>
      </c>
    </row>
    <row r="232">
      <c r="A232" t="n">
        <v>44781000</v>
      </c>
      <c r="B232" s="2" t="n">
        <v>45797</v>
      </c>
      <c r="C232" t="inlineStr">
        <is>
          <t>OD</t>
        </is>
      </c>
      <c r="D232" t="inlineStr">
        <is>
          <t>OD05001</t>
        </is>
      </c>
      <c r="E232" t="inlineStr">
        <is>
          <t>FACTURE 2BNC DE MAI 2025</t>
        </is>
      </c>
      <c r="F232" t="inlineStr">
        <is>
          <t>C</t>
        </is>
      </c>
      <c r="G232" s="3" t="n">
        <v>0</v>
      </c>
      <c r="H232" s="3" t="n">
        <v>20994</v>
      </c>
      <c r="I232" s="3" t="n">
        <v>-193430</v>
      </c>
    </row>
    <row r="233">
      <c r="A233" t="n">
        <v>44781000</v>
      </c>
      <c r="B233" s="2" t="n">
        <v>45835</v>
      </c>
      <c r="C233" t="inlineStr">
        <is>
          <t>OD</t>
        </is>
      </c>
      <c r="D233" t="inlineStr">
        <is>
          <t>OD06001</t>
        </is>
      </c>
      <c r="E233" t="inlineStr">
        <is>
          <t>SUIVI ET REVISION COMPTABLE JUIN 2025</t>
        </is>
      </c>
      <c r="F233" t="inlineStr">
        <is>
          <t>C</t>
        </is>
      </c>
      <c r="G233" s="3" t="n">
        <v>0</v>
      </c>
      <c r="H233" s="3" t="n">
        <v>20994</v>
      </c>
      <c r="I233" s="3" t="n">
        <v>-214424</v>
      </c>
    </row>
    <row r="234">
      <c r="A234" t="n">
        <v>44781000</v>
      </c>
      <c r="B234" s="2" t="n">
        <v>45869</v>
      </c>
      <c r="C234" t="inlineStr">
        <is>
          <t>OD</t>
        </is>
      </c>
      <c r="D234" t="inlineStr">
        <is>
          <t>COM07001</t>
        </is>
      </c>
      <c r="E234" t="inlineStr">
        <is>
          <t>ASSISTACE COMPTABLE FOC NøFA2BN126/JUIL 2025</t>
        </is>
      </c>
      <c r="F234" t="inlineStr">
        <is>
          <t>C</t>
        </is>
      </c>
      <c r="G234" s="3" t="n">
        <v>0</v>
      </c>
      <c r="H234" s="3" t="n">
        <v>20994</v>
      </c>
      <c r="I234" s="3" t="n">
        <v>-235418</v>
      </c>
    </row>
    <row r="235">
      <c r="A235" t="n">
        <v>44781000</v>
      </c>
      <c r="B235" s="2" t="n">
        <v>45889</v>
      </c>
      <c r="C235" t="inlineStr">
        <is>
          <t>OD</t>
        </is>
      </c>
      <c r="D235" t="inlineStr">
        <is>
          <t>OD08002</t>
        </is>
      </c>
      <c r="E235" t="inlineStr">
        <is>
          <t>INTERCO/TPS 2BNC DE 0924 A 0225</t>
        </is>
      </c>
      <c r="F235" t="inlineStr">
        <is>
          <t>B</t>
        </is>
      </c>
      <c r="G235" s="3" t="n">
        <v>125964</v>
      </c>
      <c r="H235" s="3" t="n">
        <v>0</v>
      </c>
      <c r="I235" s="3" t="n">
        <v>-109454</v>
      </c>
    </row>
    <row r="236">
      <c r="A236" t="n">
        <v>44781000</v>
      </c>
      <c r="B236" s="2" t="n">
        <v>45896</v>
      </c>
      <c r="C236" t="inlineStr">
        <is>
          <t>OD</t>
        </is>
      </c>
      <c r="D236" t="inlineStr">
        <is>
          <t>OD08003</t>
        </is>
      </c>
      <c r="E236" t="inlineStr">
        <is>
          <t>SUIVI COMPTABLE DE AOUT/FAC NøFA2BNC134</t>
        </is>
      </c>
      <c r="F236" t="inlineStr">
        <is>
          <t>C</t>
        </is>
      </c>
      <c r="G236" s="3" t="n">
        <v>0</v>
      </c>
      <c r="H236" s="3" t="n">
        <v>20994</v>
      </c>
      <c r="I236" s="3" t="n">
        <v>-130448</v>
      </c>
    </row>
    <row r="237">
      <c r="A237" t="n">
        <v>44781000</v>
      </c>
      <c r="B237" s="2" t="n">
        <v>45924</v>
      </c>
      <c r="C237" t="inlineStr">
        <is>
          <t>OD</t>
        </is>
      </c>
      <c r="D237" t="inlineStr">
        <is>
          <t>OD09001</t>
        </is>
      </c>
      <c r="E237" t="inlineStr">
        <is>
          <t>FAC NøFA2BNC138/ASSISTANCE COMPTABLE SEP 2025/TPS</t>
        </is>
      </c>
      <c r="F237" t="inlineStr">
        <is>
          <t>C</t>
        </is>
      </c>
      <c r="G237" s="3" t="n">
        <v>0</v>
      </c>
      <c r="H237" s="3" t="n">
        <v>20994</v>
      </c>
      <c r="I237" s="3" t="n">
        <v>-151442</v>
      </c>
    </row>
    <row r="238">
      <c r="A238" t="n">
        <v>44781000</v>
      </c>
      <c r="B238" s="2" t="n">
        <v>45940</v>
      </c>
      <c r="C238" t="inlineStr">
        <is>
          <t>OD</t>
        </is>
      </c>
      <c r="D238" t="inlineStr">
        <is>
          <t>OD10003</t>
        </is>
      </c>
      <c r="E238" t="inlineStr">
        <is>
          <t>IMPRESSION CARNET 50 FEUILLE+SOUCHES</t>
        </is>
      </c>
      <c r="F238" t="inlineStr"/>
      <c r="G238" s="3" t="n">
        <v>0</v>
      </c>
      <c r="H238" s="3" t="n">
        <v>4484</v>
      </c>
      <c r="I238" s="3" t="n">
        <v>-155926</v>
      </c>
    </row>
    <row r="239">
      <c r="A239" t="n">
        <v>44781000</v>
      </c>
      <c r="B239" s="2" t="n">
        <v>45957</v>
      </c>
      <c r="C239" t="inlineStr">
        <is>
          <t>OD</t>
        </is>
      </c>
      <c r="D239" t="inlineStr">
        <is>
          <t>OD10005</t>
        </is>
      </c>
      <c r="E239" t="inlineStr">
        <is>
          <t>GRL TPS PRESTATAIRE/PAR INTERCO</t>
        </is>
      </c>
      <c r="F239" t="inlineStr">
        <is>
          <t>C</t>
        </is>
      </c>
      <c r="G239" s="3" t="n">
        <v>146958</v>
      </c>
      <c r="H239" s="3" t="n">
        <v>0</v>
      </c>
      <c r="I239" s="3" t="n">
        <v>-8968</v>
      </c>
    </row>
    <row r="240">
      <c r="A240" t="n">
        <v>44781000</v>
      </c>
      <c r="B240" s="2" t="n">
        <v>45958</v>
      </c>
      <c r="C240" t="inlineStr">
        <is>
          <t>OD</t>
        </is>
      </c>
      <c r="D240" t="inlineStr">
        <is>
          <t>OD10001</t>
        </is>
      </c>
      <c r="E240" t="inlineStr">
        <is>
          <t>SUIVI COMPTABLE OCT 25 / FAC NøFA2BNC152</t>
        </is>
      </c>
      <c r="F240" t="inlineStr"/>
      <c r="G240" s="3" t="n">
        <v>0</v>
      </c>
      <c r="H240" s="3" t="n">
        <v>20994</v>
      </c>
      <c r="I240" s="3" t="n">
        <v>-29962</v>
      </c>
    </row>
    <row r="241">
      <c r="A241" t="n">
        <v>44781000</v>
      </c>
      <c r="B241" s="2" t="n">
        <v>45988</v>
      </c>
      <c r="C241" t="inlineStr">
        <is>
          <t>OD</t>
        </is>
      </c>
      <c r="D241" t="inlineStr">
        <is>
          <t>OD11001</t>
        </is>
      </c>
      <c r="E241" t="inlineStr">
        <is>
          <t>ASSISTANCE COMPTABLE 2BNC NOV 25</t>
        </is>
      </c>
      <c r="F241" t="inlineStr"/>
      <c r="G241" s="3" t="n">
        <v>0</v>
      </c>
      <c r="H241" s="3" t="n">
        <v>20994</v>
      </c>
      <c r="I241" s="3" t="n">
        <v>-50956</v>
      </c>
    </row>
    <row r="242">
      <c r="A242" t="n">
        <v>46130000</v>
      </c>
      <c r="B242" s="2" t="n">
        <v>45667</v>
      </c>
      <c r="C242" t="inlineStr">
        <is>
          <t>RAN</t>
        </is>
      </c>
      <c r="D242" t="inlineStr">
        <is>
          <t>RAN07001</t>
        </is>
      </c>
      <c r="E242" t="inlineStr">
        <is>
          <t>APPORTEUR CAPITAL APPELE NON VERSE</t>
        </is>
      </c>
      <c r="F242" t="inlineStr"/>
      <c r="G242" s="3" t="n">
        <v>500000</v>
      </c>
      <c r="H242" s="3" t="n">
        <v>0</v>
      </c>
      <c r="I242" s="3" t="n">
        <v>500000</v>
      </c>
    </row>
    <row r="243">
      <c r="A243" t="n">
        <v>46210000</v>
      </c>
      <c r="B243" s="2" t="n">
        <v>45667</v>
      </c>
      <c r="C243" t="inlineStr">
        <is>
          <t>BQE</t>
        </is>
      </c>
      <c r="D243" t="inlineStr">
        <is>
          <t>9</t>
        </is>
      </c>
      <c r="E243" t="inlineStr">
        <is>
          <t>VERSEMENT ESPECES BAMBOO IMMO GUY PATRICK /REMBOURSEMENT</t>
        </is>
      </c>
      <c r="F243" t="inlineStr">
        <is>
          <t>A</t>
        </is>
      </c>
      <c r="G243" s="3" t="n">
        <v>0</v>
      </c>
      <c r="H243" s="3" t="n">
        <v>500000</v>
      </c>
      <c r="I243" s="3" t="n">
        <v>-500000</v>
      </c>
    </row>
    <row r="244">
      <c r="A244" t="n">
        <v>46210000</v>
      </c>
      <c r="B244" s="2" t="n">
        <v>45700</v>
      </c>
      <c r="C244" t="inlineStr">
        <is>
          <t>BQE</t>
        </is>
      </c>
      <c r="D244" t="inlineStr">
        <is>
          <t>BQE0202</t>
        </is>
      </c>
      <c r="E244" t="inlineStr">
        <is>
          <t>VERSMNT ESPECES</t>
        </is>
      </c>
      <c r="F244" t="inlineStr">
        <is>
          <t>A</t>
        </is>
      </c>
      <c r="G244" s="3" t="n">
        <v>0</v>
      </c>
      <c r="H244" s="3" t="n">
        <v>500000</v>
      </c>
      <c r="I244" s="3" t="n">
        <v>-1000000</v>
      </c>
    </row>
    <row r="245">
      <c r="A245" t="n">
        <v>46210000</v>
      </c>
      <c r="B245" s="2" t="n">
        <v>45727</v>
      </c>
      <c r="C245" t="inlineStr">
        <is>
          <t>BQE</t>
        </is>
      </c>
      <c r="D245" t="inlineStr">
        <is>
          <t>BQE02019</t>
        </is>
      </c>
      <c r="E245" t="inlineStr">
        <is>
          <t>VERSMT ESPECES</t>
        </is>
      </c>
      <c r="F245" t="inlineStr">
        <is>
          <t>A</t>
        </is>
      </c>
      <c r="G245" s="3" t="n">
        <v>0</v>
      </c>
      <c r="H245" s="3" t="n">
        <v>500000</v>
      </c>
      <c r="I245" s="3" t="n">
        <v>-1500000</v>
      </c>
    </row>
    <row r="246">
      <c r="A246" t="n">
        <v>46210000</v>
      </c>
      <c r="B246" s="2" t="n">
        <v>45761</v>
      </c>
      <c r="C246" t="inlineStr">
        <is>
          <t>BQE</t>
        </is>
      </c>
      <c r="D246" t="inlineStr">
        <is>
          <t>BQE0406</t>
        </is>
      </c>
      <c r="E246" t="inlineStr">
        <is>
          <t>VERSEMENT ESPECES</t>
        </is>
      </c>
      <c r="F246" t="inlineStr">
        <is>
          <t>A</t>
        </is>
      </c>
      <c r="G246" s="3" t="n">
        <v>0</v>
      </c>
      <c r="H246" s="3" t="n">
        <v>500000</v>
      </c>
      <c r="I246" s="3" t="n">
        <v>-2000000</v>
      </c>
    </row>
    <row r="247">
      <c r="A247" t="n">
        <v>46210000</v>
      </c>
      <c r="B247" s="2" t="n">
        <v>45765</v>
      </c>
      <c r="C247" t="inlineStr">
        <is>
          <t>BQE</t>
        </is>
      </c>
      <c r="D247" t="inlineStr">
        <is>
          <t>BQE0410</t>
        </is>
      </c>
      <c r="E247" t="inlineStr">
        <is>
          <t>VIR EMIS ACOMPTE TRAVX AMENAGEMENT BRX</t>
        </is>
      </c>
      <c r="F247" t="inlineStr">
        <is>
          <t>A</t>
        </is>
      </c>
      <c r="G247" s="3" t="n">
        <v>5000000</v>
      </c>
      <c r="H247" s="3" t="n">
        <v>0</v>
      </c>
      <c r="I247" s="3" t="n">
        <v>3000000</v>
      </c>
    </row>
    <row r="248">
      <c r="A248" t="n">
        <v>46210000</v>
      </c>
      <c r="B248" s="2" t="n">
        <v>45789</v>
      </c>
      <c r="C248" t="inlineStr">
        <is>
          <t>BQE</t>
        </is>
      </c>
      <c r="D248" t="inlineStr">
        <is>
          <t>BQE02033</t>
        </is>
      </c>
      <c r="E248" t="inlineStr">
        <is>
          <t>VERSMENT ESPECES GUY PATRICK</t>
        </is>
      </c>
      <c r="F248" t="inlineStr">
        <is>
          <t>A</t>
        </is>
      </c>
      <c r="G248" s="3" t="n">
        <v>0</v>
      </c>
      <c r="H248" s="3" t="n">
        <v>500000</v>
      </c>
      <c r="I248" s="3" t="n">
        <v>2500000</v>
      </c>
    </row>
    <row r="249">
      <c r="A249" t="n">
        <v>46210000</v>
      </c>
      <c r="B249" s="2" t="n">
        <v>45818</v>
      </c>
      <c r="C249" t="inlineStr">
        <is>
          <t>IMMO</t>
        </is>
      </c>
      <c r="D249" t="inlineStr">
        <is>
          <t>IMMO06001</t>
        </is>
      </c>
      <c r="E249" t="inlineStr">
        <is>
          <t>VIR EMIS ACOMPTE TRAVX AMENAGEMENT BRX</t>
        </is>
      </c>
      <c r="F249" t="inlineStr">
        <is>
          <t>A</t>
        </is>
      </c>
      <c r="G249" s="3" t="n">
        <v>0</v>
      </c>
      <c r="H249" s="3" t="n">
        <v>2500000</v>
      </c>
      <c r="I249" s="3" t="n">
        <v/>
      </c>
    </row>
    <row r="250">
      <c r="A250" t="n">
        <v>46601000</v>
      </c>
      <c r="B250" s="2" t="n">
        <v>45667</v>
      </c>
      <c r="C250" t="inlineStr">
        <is>
          <t>RAN</t>
        </is>
      </c>
      <c r="D250" t="inlineStr">
        <is>
          <t>RAN07001</t>
        </is>
      </c>
      <c r="E250" t="inlineStr">
        <is>
          <t>FACTURE 2BNC NøFA2BNC014 DE SEPTEMBRE 2024</t>
        </is>
      </c>
      <c r="F250" t="inlineStr"/>
      <c r="G250" s="3" t="n">
        <v>0</v>
      </c>
      <c r="H250" s="3" t="n">
        <v>200000</v>
      </c>
      <c r="I250" s="3" t="n">
        <v>-200000</v>
      </c>
    </row>
    <row r="251">
      <c r="A251" t="n">
        <v>46601000</v>
      </c>
      <c r="B251" s="2" t="n">
        <v>45667</v>
      </c>
      <c r="C251" t="inlineStr">
        <is>
          <t>RAN</t>
        </is>
      </c>
      <c r="D251" t="inlineStr">
        <is>
          <t>RAN07001</t>
        </is>
      </c>
      <c r="E251" t="inlineStr">
        <is>
          <t>FACTURE 2BNC NøFA2BNC025 DE OCTOBRE 2024</t>
        </is>
      </c>
      <c r="F251" t="inlineStr"/>
      <c r="G251" s="3" t="n">
        <v>0</v>
      </c>
      <c r="H251" s="3" t="n">
        <v>200000</v>
      </c>
      <c r="I251" s="3" t="n">
        <v>-400000</v>
      </c>
    </row>
    <row r="252">
      <c r="A252" t="n">
        <v>46601000</v>
      </c>
      <c r="B252" s="2" t="n">
        <v>45667</v>
      </c>
      <c r="C252" t="inlineStr">
        <is>
          <t>RAN</t>
        </is>
      </c>
      <c r="D252" t="inlineStr">
        <is>
          <t>RAN07001</t>
        </is>
      </c>
      <c r="E252" t="inlineStr">
        <is>
          <t>FACTURE 2BNC NøFA2BNC039 DE SEPTEMBRE 2024</t>
        </is>
      </c>
      <c r="F252" t="inlineStr"/>
      <c r="G252" s="3" t="n">
        <v>0</v>
      </c>
      <c r="H252" s="3" t="n">
        <v>200000</v>
      </c>
      <c r="I252" s="3" t="n">
        <v>-600000</v>
      </c>
    </row>
    <row r="253">
      <c r="A253" t="n">
        <v>46601000</v>
      </c>
      <c r="B253" s="2" t="n">
        <v>45667</v>
      </c>
      <c r="C253" t="inlineStr">
        <is>
          <t>RAN</t>
        </is>
      </c>
      <c r="D253" t="inlineStr">
        <is>
          <t>RAN07001</t>
        </is>
      </c>
      <c r="E253" t="inlineStr">
        <is>
          <t>FACTURE 2BNC NøFA2BNC041 DE DECEMBRE 2024</t>
        </is>
      </c>
      <c r="F253" t="inlineStr"/>
      <c r="G253" s="3" t="n">
        <v>0</v>
      </c>
      <c r="H253" s="3" t="n">
        <v>200000</v>
      </c>
      <c r="I253" s="3" t="n">
        <v>-800000</v>
      </c>
    </row>
    <row r="254">
      <c r="A254" t="n">
        <v>46601000</v>
      </c>
      <c r="B254" s="2" t="n">
        <v>45685</v>
      </c>
      <c r="C254" t="inlineStr">
        <is>
          <t>OD</t>
        </is>
      </c>
      <c r="D254" t="inlineStr">
        <is>
          <t>OD01002</t>
        </is>
      </c>
      <c r="E254" t="inlineStr">
        <is>
          <t>RGL FACTURE 2BNC Nø FA2BNC052 DE JANVIER</t>
        </is>
      </c>
      <c r="F254" t="inlineStr"/>
      <c r="G254" s="3" t="n">
        <v>0</v>
      </c>
      <c r="H254" s="3" t="n">
        <v>200000</v>
      </c>
      <c r="I254" s="3" t="n">
        <v>-1000000</v>
      </c>
    </row>
    <row r="255">
      <c r="A255" t="n">
        <v>46601000</v>
      </c>
      <c r="B255" s="2" t="n">
        <v>45713</v>
      </c>
      <c r="C255" t="inlineStr">
        <is>
          <t>OD</t>
        </is>
      </c>
      <c r="D255" t="inlineStr">
        <is>
          <t>OD0204</t>
        </is>
      </c>
      <c r="E255" t="inlineStr">
        <is>
          <t>RGL/FA CABINET/FA2BNC063</t>
        </is>
      </c>
      <c r="F255" t="inlineStr"/>
      <c r="G255" s="3" t="n">
        <v>0</v>
      </c>
      <c r="H255" s="3" t="n">
        <v>200000</v>
      </c>
      <c r="I255" s="3" t="n">
        <v>-1200000</v>
      </c>
    </row>
    <row r="256">
      <c r="A256" t="n">
        <v>46601000</v>
      </c>
      <c r="B256" s="2" t="n">
        <v>45737</v>
      </c>
      <c r="C256" t="inlineStr">
        <is>
          <t>OD</t>
        </is>
      </c>
      <c r="D256" t="inlineStr">
        <is>
          <t>OD03002</t>
        </is>
      </c>
      <c r="E256" t="inlineStr">
        <is>
          <t>RGL FAC SUIVI COMPTABLE DE MARS 2025</t>
        </is>
      </c>
      <c r="F256" t="inlineStr"/>
      <c r="G256" s="3" t="n">
        <v>0</v>
      </c>
      <c r="H256" s="3" t="n">
        <v>200000</v>
      </c>
      <c r="I256" s="3" t="n">
        <v>-1400000</v>
      </c>
    </row>
    <row r="257">
      <c r="A257" t="n">
        <v>46601000</v>
      </c>
      <c r="B257" s="2" t="n">
        <v>45889</v>
      </c>
      <c r="C257" t="inlineStr">
        <is>
          <t>OD</t>
        </is>
      </c>
      <c r="D257" t="inlineStr">
        <is>
          <t>OD08002</t>
        </is>
      </c>
      <c r="E257" t="inlineStr">
        <is>
          <t>INTERCO/RECEPTION 1ER MAI 2025 COMPLEMENT</t>
        </is>
      </c>
      <c r="F257" t="inlineStr"/>
      <c r="G257" s="3" t="n">
        <v>0</v>
      </c>
      <c r="H257" s="3" t="n">
        <v>5480</v>
      </c>
      <c r="I257" s="3" t="n">
        <v>-1405480</v>
      </c>
    </row>
    <row r="258">
      <c r="A258" t="n">
        <v>46601000</v>
      </c>
      <c r="B258" s="2" t="n">
        <v>45889</v>
      </c>
      <c r="C258" t="inlineStr">
        <is>
          <t>OD</t>
        </is>
      </c>
      <c r="D258" t="inlineStr">
        <is>
          <t>OD08002</t>
        </is>
      </c>
      <c r="E258" t="inlineStr">
        <is>
          <t>INTERCO/RECEPTION 1ER MAI 2025</t>
        </is>
      </c>
      <c r="F258" t="inlineStr"/>
      <c r="G258" s="3" t="n">
        <v>0</v>
      </c>
      <c r="H258" s="3" t="n">
        <v>35865</v>
      </c>
      <c r="I258" s="3" t="n">
        <v>-1441345</v>
      </c>
    </row>
    <row r="259">
      <c r="A259" t="n">
        <v>46601000</v>
      </c>
      <c r="B259" s="2" t="n">
        <v>45889</v>
      </c>
      <c r="C259" t="inlineStr">
        <is>
          <t>OD</t>
        </is>
      </c>
      <c r="D259" t="inlineStr">
        <is>
          <t>OD08002</t>
        </is>
      </c>
      <c r="E259" t="inlineStr">
        <is>
          <t>INTERCO/IMPRESSION T SHIRT 1ER MAI 2025</t>
        </is>
      </c>
      <c r="F259" t="inlineStr"/>
      <c r="G259" s="3" t="n">
        <v>0</v>
      </c>
      <c r="H259" s="3" t="n">
        <v>4600</v>
      </c>
      <c r="I259" s="3" t="n">
        <v>-1445945</v>
      </c>
    </row>
    <row r="260">
      <c r="A260" t="n">
        <v>46601000</v>
      </c>
      <c r="B260" s="2" t="n">
        <v>45889</v>
      </c>
      <c r="C260" t="inlineStr">
        <is>
          <t>OD</t>
        </is>
      </c>
      <c r="D260" t="inlineStr">
        <is>
          <t>OD08002</t>
        </is>
      </c>
      <c r="E260" t="inlineStr">
        <is>
          <t>INTERCO/TPS 2BNC DE 0924 A 0225</t>
        </is>
      </c>
      <c r="F260" t="inlineStr"/>
      <c r="G260" s="3" t="n">
        <v>0</v>
      </c>
      <c r="H260" s="3" t="n">
        <v>125964</v>
      </c>
      <c r="I260" s="3" t="n">
        <v>-1571909</v>
      </c>
    </row>
    <row r="261">
      <c r="A261" t="n">
        <v>46601000</v>
      </c>
      <c r="B261" s="2" t="n">
        <v>45889</v>
      </c>
      <c r="C261" t="inlineStr">
        <is>
          <t>OD</t>
        </is>
      </c>
      <c r="D261" t="inlineStr">
        <is>
          <t>OD08002</t>
        </is>
      </c>
      <c r="E261" t="inlineStr">
        <is>
          <t>INTERCO/PATENTE DE FEVRIER 2025</t>
        </is>
      </c>
      <c r="F261" t="inlineStr"/>
      <c r="G261" s="3" t="n">
        <v>0</v>
      </c>
      <c r="H261" s="3" t="n">
        <v>170000</v>
      </c>
      <c r="I261" s="3" t="n">
        <v>-1741909</v>
      </c>
    </row>
    <row r="262">
      <c r="A262" t="n">
        <v>46601000</v>
      </c>
      <c r="B262" s="2" t="n">
        <v>45889</v>
      </c>
      <c r="C262" t="inlineStr">
        <is>
          <t>OD</t>
        </is>
      </c>
      <c r="D262" t="inlineStr">
        <is>
          <t>OD08002</t>
        </is>
      </c>
      <c r="E262" t="inlineStr">
        <is>
          <t>INTERCO/ACQUISITION D'UN VEHICULE</t>
        </is>
      </c>
      <c r="F262" t="inlineStr"/>
      <c r="G262" s="3" t="n">
        <v>0</v>
      </c>
      <c r="H262" s="3" t="n">
        <v>14450911</v>
      </c>
      <c r="I262" s="3" t="n">
        <v>-16192820</v>
      </c>
    </row>
    <row r="263">
      <c r="A263" t="n">
        <v>46601000</v>
      </c>
      <c r="B263" s="2" t="n">
        <v>45957</v>
      </c>
      <c r="C263" t="inlineStr">
        <is>
          <t>OD</t>
        </is>
      </c>
      <c r="D263" t="inlineStr">
        <is>
          <t>OD10005</t>
        </is>
      </c>
      <c r="E263" t="inlineStr">
        <is>
          <t>GRL TPS PRESTATAIRE/PAR INTERCO</t>
        </is>
      </c>
      <c r="F263" t="inlineStr"/>
      <c r="G263" s="3" t="n">
        <v>0</v>
      </c>
      <c r="H263" s="3" t="n">
        <v>146958</v>
      </c>
      <c r="I263" s="3" t="n">
        <v>-16339778</v>
      </c>
    </row>
    <row r="264">
      <c r="A264" t="n">
        <v>47110000</v>
      </c>
      <c r="B264" s="2" t="n">
        <v>45723</v>
      </c>
      <c r="C264" t="inlineStr">
        <is>
          <t>BQE</t>
        </is>
      </c>
      <c r="D264" t="inlineStr">
        <is>
          <t>BQE02013</t>
        </is>
      </c>
      <c r="E264" t="inlineStr">
        <is>
          <t>ESCOMPTE CHQORA 5338664</t>
        </is>
      </c>
      <c r="F264" t="inlineStr">
        <is>
          <t>C</t>
        </is>
      </c>
      <c r="G264" s="3" t="n">
        <v>0</v>
      </c>
      <c r="H264" s="3" t="n">
        <v>150000</v>
      </c>
      <c r="I264" s="3" t="n">
        <v>-150000</v>
      </c>
    </row>
    <row r="265">
      <c r="A265" t="n">
        <v>47110000</v>
      </c>
      <c r="B265" s="2" t="n">
        <v>45726</v>
      </c>
      <c r="C265" t="inlineStr">
        <is>
          <t>BQE</t>
        </is>
      </c>
      <c r="D265" t="inlineStr">
        <is>
          <t>BQE02014</t>
        </is>
      </c>
      <c r="E265" t="inlineStr">
        <is>
          <t>RETRAIT ESPECES</t>
        </is>
      </c>
      <c r="F265" t="inlineStr"/>
      <c r="G265" s="3" t="n">
        <v>150000</v>
      </c>
      <c r="H265" s="3" t="n">
        <v>0</v>
      </c>
      <c r="I265" s="3" t="n">
        <v/>
      </c>
    </row>
    <row r="266">
      <c r="A266" t="n">
        <v>47110000</v>
      </c>
      <c r="B266" s="2" t="n">
        <v>45729</v>
      </c>
      <c r="C266" t="inlineStr">
        <is>
          <t>BQE</t>
        </is>
      </c>
      <c r="D266" t="inlineStr">
        <is>
          <t>BQE02025</t>
        </is>
      </c>
      <c r="E266" t="inlineStr">
        <is>
          <t>REMB ESCOMPTE CHQ ORA5338664</t>
        </is>
      </c>
      <c r="F266" t="inlineStr">
        <is>
          <t>C</t>
        </is>
      </c>
      <c r="G266" s="3" t="n">
        <v>150000</v>
      </c>
      <c r="H266" s="3" t="n">
        <v>0</v>
      </c>
      <c r="I266" s="3" t="n">
        <v>150000</v>
      </c>
    </row>
    <row r="267">
      <c r="A267" t="n">
        <v>47110000</v>
      </c>
      <c r="B267" s="2" t="n">
        <v>45910</v>
      </c>
      <c r="C267" t="inlineStr">
        <is>
          <t>BQE</t>
        </is>
      </c>
      <c r="D267" t="inlineStr">
        <is>
          <t>BQ09001</t>
        </is>
      </c>
      <c r="E267" t="inlineStr">
        <is>
          <t>VIR ORDRE PARIE MUTUEL UB</t>
        </is>
      </c>
      <c r="F267" t="inlineStr">
        <is>
          <t>B</t>
        </is>
      </c>
      <c r="G267" s="3" t="n">
        <v>0</v>
      </c>
      <c r="H267" s="3" t="n">
        <v>1813500</v>
      </c>
      <c r="I267" s="3" t="n">
        <v>-1663500</v>
      </c>
    </row>
    <row r="268">
      <c r="A268" t="n">
        <v>47110000</v>
      </c>
      <c r="B268" s="2" t="n">
        <v>45930</v>
      </c>
      <c r="C268" t="inlineStr">
        <is>
          <t>BQE</t>
        </is>
      </c>
      <c r="D268" t="inlineStr">
        <is>
          <t>BQ09002</t>
        </is>
      </c>
      <c r="E268" t="inlineStr">
        <is>
          <t>REL LOYER</t>
        </is>
      </c>
      <c r="F268" t="inlineStr">
        <is>
          <t>B</t>
        </is>
      </c>
      <c r="G268" s="3" t="n">
        <v>1813500</v>
      </c>
      <c r="H268" s="3" t="n">
        <v>0</v>
      </c>
      <c r="I268" s="3" t="n">
        <v>150000</v>
      </c>
    </row>
    <row r="269">
      <c r="A269" t="n">
        <v>47120000</v>
      </c>
      <c r="B269" s="2" t="n">
        <v>45728</v>
      </c>
      <c r="C269" t="inlineStr">
        <is>
          <t>BQE</t>
        </is>
      </c>
      <c r="D269" t="inlineStr">
        <is>
          <t>BQE02022</t>
        </is>
      </c>
      <c r="E269" t="inlineStr">
        <is>
          <t>REMISE CHQ</t>
        </is>
      </c>
      <c r="F269" t="inlineStr">
        <is>
          <t>C</t>
        </is>
      </c>
      <c r="G269" s="3" t="n">
        <v>0</v>
      </c>
      <c r="H269" s="3" t="n">
        <v>1654500</v>
      </c>
      <c r="I269" s="3" t="n">
        <v>-1654500</v>
      </c>
    </row>
    <row r="270">
      <c r="A270" t="n">
        <v>47120000</v>
      </c>
      <c r="B270" s="2" t="n">
        <v>45729</v>
      </c>
      <c r="C270" t="inlineStr">
        <is>
          <t>BQE</t>
        </is>
      </c>
      <c r="D270" t="inlineStr">
        <is>
          <t>BQE02024</t>
        </is>
      </c>
      <c r="E270" t="inlineStr">
        <is>
          <t>VIR EMIS AGENCE LOYER</t>
        </is>
      </c>
      <c r="F270" t="inlineStr">
        <is>
          <t>C</t>
        </is>
      </c>
      <c r="G270" s="3" t="n">
        <v>1654500</v>
      </c>
      <c r="H270" s="3" t="n">
        <v>0</v>
      </c>
      <c r="I270" s="3" t="n">
        <v/>
      </c>
    </row>
    <row r="271">
      <c r="A271" t="n">
        <v>47120000</v>
      </c>
      <c r="B271" s="2" t="n">
        <v>45762</v>
      </c>
      <c r="C271" t="inlineStr">
        <is>
          <t>BQE</t>
        </is>
      </c>
      <c r="D271" t="inlineStr">
        <is>
          <t>BQE408</t>
        </is>
      </c>
      <c r="E271" t="inlineStr">
        <is>
          <t>VIR RECU JOVITE CLAUDE</t>
        </is>
      </c>
      <c r="F271" t="inlineStr">
        <is>
          <t>B</t>
        </is>
      </c>
      <c r="G271" s="3" t="n">
        <v>0</v>
      </c>
      <c r="H271" s="3" t="n">
        <v>920700</v>
      </c>
      <c r="I271" s="3" t="n">
        <v>-920700</v>
      </c>
    </row>
    <row r="272">
      <c r="A272" t="n">
        <v>47120000</v>
      </c>
      <c r="B272" s="2" t="n">
        <v>45765</v>
      </c>
      <c r="C272" t="inlineStr">
        <is>
          <t>BQE</t>
        </is>
      </c>
      <c r="D272" t="inlineStr">
        <is>
          <t>BQE0411</t>
        </is>
      </c>
      <c r="E272" t="inlineStr">
        <is>
          <t>VIR EMIS REVERSEMNT LOYERS</t>
        </is>
      </c>
      <c r="F272" t="inlineStr">
        <is>
          <t>B</t>
        </is>
      </c>
      <c r="G272" s="3" t="n">
        <v>920700</v>
      </c>
      <c r="H272" s="3" t="n">
        <v>0</v>
      </c>
      <c r="I272" s="3" t="n">
        <v/>
      </c>
    </row>
    <row r="273">
      <c r="A273" t="n">
        <v>47120000</v>
      </c>
      <c r="B273" s="2" t="n">
        <v>45867</v>
      </c>
      <c r="C273" t="inlineStr">
        <is>
          <t>BQE</t>
        </is>
      </c>
      <c r="D273" t="inlineStr">
        <is>
          <t>BQ07012</t>
        </is>
      </c>
      <c r="E273" t="inlineStr">
        <is>
          <t>VIR RECU JOVITE CLAUDE CHRISTIAN MBOUI ONDO</t>
        </is>
      </c>
      <c r="F273" t="inlineStr">
        <is>
          <t>A</t>
        </is>
      </c>
      <c r="G273" s="3" t="n">
        <v>0</v>
      </c>
      <c r="H273" s="3" t="n">
        <v>920700</v>
      </c>
      <c r="I273" s="3" t="n">
        <v>-920700</v>
      </c>
    </row>
    <row r="274">
      <c r="A274" t="n">
        <v>47120000</v>
      </c>
      <c r="B274" s="2" t="n">
        <v>45869</v>
      </c>
      <c r="C274" t="inlineStr">
        <is>
          <t>BQE</t>
        </is>
      </c>
      <c r="D274" t="inlineStr">
        <is>
          <t>BQ07015</t>
        </is>
      </c>
      <c r="E274" t="inlineStr">
        <is>
          <t>VIR EMIS INTRA AGENCE TRANSFERT DES LOYERS</t>
        </is>
      </c>
      <c r="F274" t="inlineStr">
        <is>
          <t>A</t>
        </is>
      </c>
      <c r="G274" s="3" t="n">
        <v>920700</v>
      </c>
      <c r="H274" s="3" t="n">
        <v>0</v>
      </c>
      <c r="I274" s="3" t="n">
        <v/>
      </c>
    </row>
    <row r="275">
      <c r="A275" t="n">
        <v>48110000</v>
      </c>
      <c r="B275" s="2" t="n">
        <v>45894</v>
      </c>
      <c r="C275" t="inlineStr">
        <is>
          <t>IMMO</t>
        </is>
      </c>
      <c r="D275" t="inlineStr">
        <is>
          <t>IMMO08001</t>
        </is>
      </c>
      <c r="E275" t="inlineStr">
        <is>
          <t>AQUISITION LOGICIELES MICROSOFT 365 BUSINESS BASIC</t>
        </is>
      </c>
      <c r="F275" t="inlineStr">
        <is>
          <t>A</t>
        </is>
      </c>
      <c r="G275" s="3" t="n">
        <v>0</v>
      </c>
      <c r="H275" s="3" t="n">
        <v>99960</v>
      </c>
      <c r="I275" s="3" t="n">
        <v>-99960</v>
      </c>
    </row>
    <row r="276">
      <c r="A276" t="n">
        <v>48110000</v>
      </c>
      <c r="B276" s="2" t="n">
        <v>45944</v>
      </c>
      <c r="C276" t="inlineStr">
        <is>
          <t>BQE</t>
        </is>
      </c>
      <c r="D276" t="inlineStr">
        <is>
          <t>BQE10011</t>
        </is>
      </c>
      <c r="E276" t="inlineStr">
        <is>
          <t>RGL FACTURE VENTIS / AQUISITION DE LICENCES 365</t>
        </is>
      </c>
      <c r="F276" t="inlineStr">
        <is>
          <t>A</t>
        </is>
      </c>
      <c r="G276" s="3" t="n">
        <v>99960</v>
      </c>
      <c r="H276" s="3" t="n">
        <v>0</v>
      </c>
      <c r="I276" s="3" t="n">
        <v/>
      </c>
    </row>
    <row r="277">
      <c r="A277" t="n">
        <v>52110000</v>
      </c>
      <c r="B277" s="2" t="n">
        <v>45664</v>
      </c>
      <c r="C277" t="inlineStr">
        <is>
          <t>BQE</t>
        </is>
      </c>
      <c r="D277" t="inlineStr">
        <is>
          <t>1</t>
        </is>
      </c>
      <c r="E277" t="inlineStr">
        <is>
          <t>VERSEMENT ESPECES BAMBOO IMMO /GUY PATRICK</t>
        </is>
      </c>
      <c r="F277" t="inlineStr"/>
      <c r="G277" s="3" t="n">
        <v>123200</v>
      </c>
      <c r="H277" s="3" t="n">
        <v>0</v>
      </c>
      <c r="I277" s="3" t="n">
        <v>2019300</v>
      </c>
    </row>
    <row r="278">
      <c r="A278" t="n">
        <v>52110000</v>
      </c>
      <c r="B278" s="2" t="n">
        <v>45666</v>
      </c>
      <c r="C278" t="inlineStr">
        <is>
          <t>BQE</t>
        </is>
      </c>
      <c r="D278" t="inlineStr">
        <is>
          <t>3</t>
        </is>
      </c>
      <c r="E278" t="inlineStr">
        <is>
          <t>VERSEMENT ESPECES/DARRYL</t>
        </is>
      </c>
      <c r="F278" t="inlineStr"/>
      <c r="G278" s="3" t="n">
        <v>28000</v>
      </c>
      <c r="H278" s="3" t="n">
        <v>0</v>
      </c>
      <c r="I278" s="3" t="n">
        <v>2047300</v>
      </c>
    </row>
    <row r="279">
      <c r="A279" t="n">
        <v>52110000</v>
      </c>
      <c r="B279" s="2" t="n">
        <v>45667</v>
      </c>
      <c r="C279" t="inlineStr">
        <is>
          <t>RAN</t>
        </is>
      </c>
      <c r="D279" t="inlineStr">
        <is>
          <t>RAN07001</t>
        </is>
      </c>
      <c r="E279" t="inlineStr">
        <is>
          <t>BANQUE</t>
        </is>
      </c>
      <c r="F279" t="inlineStr"/>
      <c r="G279" s="3" t="n">
        <v>1896100</v>
      </c>
      <c r="H279" s="3" t="n">
        <v>0</v>
      </c>
      <c r="I279" s="3" t="n">
        <v>1896100</v>
      </c>
    </row>
    <row r="280">
      <c r="A280" t="n">
        <v>52110000</v>
      </c>
      <c r="B280" s="2" t="n">
        <v>45667</v>
      </c>
      <c r="C280" t="inlineStr">
        <is>
          <t>BQE</t>
        </is>
      </c>
      <c r="D280" t="inlineStr">
        <is>
          <t>5</t>
        </is>
      </c>
      <c r="E280" t="inlineStr">
        <is>
          <t>VERSEMENT ESPECES BAMBOO IMMO/GUY PATRICK</t>
        </is>
      </c>
      <c r="F280" t="inlineStr"/>
      <c r="G280" s="3" t="n">
        <v>18000</v>
      </c>
      <c r="H280" s="3" t="n">
        <v>0</v>
      </c>
      <c r="I280" s="3" t="n">
        <v>2065300</v>
      </c>
    </row>
    <row r="281">
      <c r="A281" t="n">
        <v>52110000</v>
      </c>
      <c r="B281" s="2" t="n">
        <v>45667</v>
      </c>
      <c r="C281" t="inlineStr">
        <is>
          <t>BQE</t>
        </is>
      </c>
      <c r="D281" t="inlineStr">
        <is>
          <t>7</t>
        </is>
      </c>
      <c r="E281" t="inlineStr">
        <is>
          <t>VERSEMENT ESPECES BAMBOO IMMO /HONORAIRES</t>
        </is>
      </c>
      <c r="F281" t="inlineStr"/>
      <c r="G281" s="3" t="n">
        <v>49000</v>
      </c>
      <c r="H281" s="3" t="n">
        <v>0</v>
      </c>
      <c r="I281" s="3" t="n">
        <v>2114300</v>
      </c>
    </row>
    <row r="282">
      <c r="A282" t="n">
        <v>52110000</v>
      </c>
      <c r="B282" s="2" t="n">
        <v>45667</v>
      </c>
      <c r="C282" t="inlineStr">
        <is>
          <t>BQE</t>
        </is>
      </c>
      <c r="D282" t="inlineStr">
        <is>
          <t>9</t>
        </is>
      </c>
      <c r="E282" t="inlineStr">
        <is>
          <t>VERSEMENT ESPECES BAMBOO IMMO  GUY PATRICK REMBOURSEMENT</t>
        </is>
      </c>
      <c r="F282" t="inlineStr"/>
      <c r="G282" s="3" t="n">
        <v>500000</v>
      </c>
      <c r="H282" s="3" t="n">
        <v>0</v>
      </c>
      <c r="I282" s="3" t="n">
        <v>2614300</v>
      </c>
    </row>
    <row r="283">
      <c r="A283" t="n">
        <v>52110000</v>
      </c>
      <c r="B283" s="2" t="n">
        <v>45667</v>
      </c>
      <c r="C283" t="inlineStr">
        <is>
          <t>BQE</t>
        </is>
      </c>
      <c r="D283" t="inlineStr">
        <is>
          <t>10</t>
        </is>
      </c>
      <c r="E283" t="inlineStr">
        <is>
          <t>VERSEMENT ESPECES BAMBOO IMMO/ GUYPATRICK/ HONORAIRES</t>
        </is>
      </c>
      <c r="F283" t="inlineStr"/>
      <c r="G283" s="3" t="n">
        <v>45500</v>
      </c>
      <c r="H283" s="3" t="n">
        <v>0</v>
      </c>
      <c r="I283" s="3" t="n">
        <v>2659800</v>
      </c>
    </row>
    <row r="284">
      <c r="A284" t="n">
        <v>52110000</v>
      </c>
      <c r="B284" s="2" t="n">
        <v>45670</v>
      </c>
      <c r="C284" t="inlineStr">
        <is>
          <t>BQE</t>
        </is>
      </c>
      <c r="D284" t="inlineStr">
        <is>
          <t>12</t>
        </is>
      </c>
      <c r="E284" t="inlineStr">
        <is>
          <t>VERSEMENT ESPECES BAMBOO IMMO /GUY PATRICK</t>
        </is>
      </c>
      <c r="F284" t="inlineStr"/>
      <c r="G284" s="3" t="n">
        <v>75000</v>
      </c>
      <c r="H284" s="3" t="n">
        <v>0</v>
      </c>
      <c r="I284" s="3" t="n">
        <v>2734800</v>
      </c>
    </row>
    <row r="285">
      <c r="A285" t="n">
        <v>52110000</v>
      </c>
      <c r="B285" s="2" t="n">
        <v>45670</v>
      </c>
      <c r="C285" t="inlineStr">
        <is>
          <t>BQE</t>
        </is>
      </c>
      <c r="D285" t="inlineStr">
        <is>
          <t>14</t>
        </is>
      </c>
      <c r="E285" t="inlineStr">
        <is>
          <t>VERSEMENT ESPECES BAMBOO IMMO / GUY PATRICK</t>
        </is>
      </c>
      <c r="F285" t="inlineStr"/>
      <c r="G285" s="3" t="n">
        <v>70000</v>
      </c>
      <c r="H285" s="3" t="n">
        <v>0</v>
      </c>
      <c r="I285" s="3" t="n">
        <v>2804800</v>
      </c>
    </row>
    <row r="286">
      <c r="A286" t="n">
        <v>52110000</v>
      </c>
      <c r="B286" s="2" t="n">
        <v>45686</v>
      </c>
      <c r="C286" t="inlineStr">
        <is>
          <t>BQE</t>
        </is>
      </c>
      <c r="D286" t="inlineStr">
        <is>
          <t>16</t>
        </is>
      </c>
      <c r="E286" t="inlineStr">
        <is>
          <t>VERSEMENT ESPECES BAMBOO IMMO/GUY PATRICK /HONORAIRES</t>
        </is>
      </c>
      <c r="F286" t="inlineStr"/>
      <c r="G286" s="3" t="n">
        <v>73150</v>
      </c>
      <c r="H286" s="3" t="n">
        <v>0</v>
      </c>
      <c r="I286" s="3" t="n">
        <v>2877950</v>
      </c>
    </row>
    <row r="287">
      <c r="A287" t="n">
        <v>52110000</v>
      </c>
      <c r="B287" s="2" t="n">
        <v>45686</v>
      </c>
      <c r="C287" t="inlineStr">
        <is>
          <t>BQE</t>
        </is>
      </c>
      <c r="D287" t="inlineStr">
        <is>
          <t>18</t>
        </is>
      </c>
      <c r="E287" t="inlineStr">
        <is>
          <t>FRAIS PACKAGE JANV 2025 TTC</t>
        </is>
      </c>
      <c r="F287" t="inlineStr"/>
      <c r="G287" s="3" t="n">
        <v>0</v>
      </c>
      <c r="H287" s="3" t="n">
        <v>5950</v>
      </c>
      <c r="I287" s="3" t="n">
        <v>2872000</v>
      </c>
    </row>
    <row r="288">
      <c r="A288" t="n">
        <v>52110000</v>
      </c>
      <c r="B288" s="2" t="n">
        <v>45686</v>
      </c>
      <c r="C288" t="inlineStr">
        <is>
          <t>BQE</t>
        </is>
      </c>
      <c r="D288" t="inlineStr">
        <is>
          <t>19</t>
        </is>
      </c>
      <c r="E288" t="inlineStr">
        <is>
          <t>FRAIS E BANKING JAN 2025</t>
        </is>
      </c>
      <c r="F288" t="inlineStr"/>
      <c r="G288" s="3" t="n">
        <v>0</v>
      </c>
      <c r="H288" s="3" t="n">
        <v>2500</v>
      </c>
      <c r="I288" s="3" t="n">
        <v>2869500</v>
      </c>
    </row>
    <row r="289">
      <c r="A289" t="n">
        <v>52110000</v>
      </c>
      <c r="B289" s="2" t="n">
        <v>45695</v>
      </c>
      <c r="C289" t="inlineStr">
        <is>
          <t>BQE</t>
        </is>
      </c>
      <c r="D289" t="inlineStr">
        <is>
          <t>BQE0201</t>
        </is>
      </c>
      <c r="E289" t="inlineStr">
        <is>
          <t>VERSMNT ESPECES</t>
        </is>
      </c>
      <c r="F289" t="inlineStr"/>
      <c r="G289" s="3" t="n">
        <v>70000</v>
      </c>
      <c r="H289" s="3" t="n">
        <v>0</v>
      </c>
      <c r="I289" s="3" t="n">
        <v>2939500</v>
      </c>
    </row>
    <row r="290">
      <c r="A290" t="n">
        <v>52110000</v>
      </c>
      <c r="B290" s="2" t="n">
        <v>45700</v>
      </c>
      <c r="C290" t="inlineStr">
        <is>
          <t>BQE</t>
        </is>
      </c>
      <c r="D290" t="inlineStr">
        <is>
          <t>BQE0202</t>
        </is>
      </c>
      <c r="E290" t="inlineStr">
        <is>
          <t>VERSMNT ESPECES</t>
        </is>
      </c>
      <c r="F290" t="inlineStr"/>
      <c r="G290" s="3" t="n">
        <v>500000</v>
      </c>
      <c r="H290" s="3" t="n">
        <v>0</v>
      </c>
      <c r="I290" s="3" t="n">
        <v>3439500</v>
      </c>
    </row>
    <row r="291">
      <c r="A291" t="n">
        <v>52110000</v>
      </c>
      <c r="B291" s="2" t="n">
        <v>45700</v>
      </c>
      <c r="C291" t="inlineStr">
        <is>
          <t>BQE</t>
        </is>
      </c>
      <c r="D291" t="inlineStr">
        <is>
          <t>BQE0203</t>
        </is>
      </c>
      <c r="E291" t="inlineStr">
        <is>
          <t>VERSMNT ESPECES</t>
        </is>
      </c>
      <c r="F291" t="inlineStr"/>
      <c r="G291" s="3" t="n">
        <v>67000</v>
      </c>
      <c r="H291" s="3" t="n">
        <v>0</v>
      </c>
      <c r="I291" s="3" t="n">
        <v>3506500</v>
      </c>
    </row>
    <row r="292">
      <c r="A292" t="n">
        <v>52110000</v>
      </c>
      <c r="B292" s="2" t="n">
        <v>45700</v>
      </c>
      <c r="C292" t="inlineStr">
        <is>
          <t>BQE</t>
        </is>
      </c>
      <c r="D292" t="inlineStr">
        <is>
          <t>BQE0204</t>
        </is>
      </c>
      <c r="E292" t="inlineStr">
        <is>
          <t>VERSMNT ESPECES</t>
        </is>
      </c>
      <c r="F292" t="inlineStr"/>
      <c r="G292" s="3" t="n">
        <v>112000</v>
      </c>
      <c r="H292" s="3" t="n">
        <v>0</v>
      </c>
      <c r="I292" s="3" t="n">
        <v>3618500</v>
      </c>
    </row>
    <row r="293">
      <c r="A293" t="n">
        <v>52110000</v>
      </c>
      <c r="B293" s="2" t="n">
        <v>45700</v>
      </c>
      <c r="C293" t="inlineStr">
        <is>
          <t>BQE</t>
        </is>
      </c>
      <c r="D293" t="inlineStr">
        <is>
          <t>BQE0205</t>
        </is>
      </c>
      <c r="E293" t="inlineStr">
        <is>
          <t>VERSMNT ESPECES</t>
        </is>
      </c>
      <c r="F293" t="inlineStr"/>
      <c r="G293" s="3" t="n">
        <v>17500</v>
      </c>
      <c r="H293" s="3" t="n">
        <v>0</v>
      </c>
      <c r="I293" s="3" t="n">
        <v>3636000</v>
      </c>
    </row>
    <row r="294">
      <c r="A294" t="n">
        <v>52110000</v>
      </c>
      <c r="B294" s="2" t="n">
        <v>45700</v>
      </c>
      <c r="C294" t="inlineStr">
        <is>
          <t>BQE</t>
        </is>
      </c>
      <c r="D294" t="inlineStr">
        <is>
          <t>BQE0206</t>
        </is>
      </c>
      <c r="E294" t="inlineStr">
        <is>
          <t>VERSMNT ESPECES</t>
        </is>
      </c>
      <c r="F294" t="inlineStr"/>
      <c r="G294" s="3" t="n">
        <v>75000</v>
      </c>
      <c r="H294" s="3" t="n">
        <v>0</v>
      </c>
      <c r="I294" s="3" t="n">
        <v>3711000</v>
      </c>
    </row>
    <row r="295">
      <c r="A295" t="n">
        <v>52110000</v>
      </c>
      <c r="B295" s="2" t="n">
        <v>45705</v>
      </c>
      <c r="C295" t="inlineStr">
        <is>
          <t>BQE</t>
        </is>
      </c>
      <c r="D295" t="inlineStr">
        <is>
          <t>BQE0207</t>
        </is>
      </c>
      <c r="E295" t="inlineStr">
        <is>
          <t>VERSMNT ESPECES</t>
        </is>
      </c>
      <c r="F295" t="inlineStr"/>
      <c r="G295" s="3" t="n">
        <v>63000</v>
      </c>
      <c r="H295" s="3" t="n">
        <v>0</v>
      </c>
      <c r="I295" s="3" t="n">
        <v>3774000</v>
      </c>
    </row>
    <row r="296">
      <c r="A296" t="n">
        <v>52110000</v>
      </c>
      <c r="B296" s="2" t="n">
        <v>45716</v>
      </c>
      <c r="C296" t="inlineStr">
        <is>
          <t>BQE</t>
        </is>
      </c>
      <c r="D296" t="inlineStr">
        <is>
          <t>BQE0208</t>
        </is>
      </c>
      <c r="E296" t="inlineStr">
        <is>
          <t>VERSMNT ESPECES</t>
        </is>
      </c>
      <c r="F296" t="inlineStr"/>
      <c r="G296" s="3" t="n">
        <v>28000</v>
      </c>
      <c r="H296" s="3" t="n">
        <v>0</v>
      </c>
      <c r="I296" s="3" t="n">
        <v>3802000</v>
      </c>
    </row>
    <row r="297">
      <c r="A297" t="n">
        <v>52110000</v>
      </c>
      <c r="B297" s="2" t="n">
        <v>45716</v>
      </c>
      <c r="C297" t="inlineStr">
        <is>
          <t>BQE</t>
        </is>
      </c>
      <c r="D297" t="inlineStr">
        <is>
          <t>BQE0209</t>
        </is>
      </c>
      <c r="E297" t="inlineStr">
        <is>
          <t>VERSMNT ESPECES</t>
        </is>
      </c>
      <c r="F297" t="inlineStr"/>
      <c r="G297" s="3" t="n">
        <v>43750</v>
      </c>
      <c r="H297" s="3" t="n">
        <v>0</v>
      </c>
      <c r="I297" s="3" t="n">
        <v>3845750</v>
      </c>
    </row>
    <row r="298">
      <c r="A298" t="n">
        <v>52110000</v>
      </c>
      <c r="B298" s="2" t="n">
        <v>45716</v>
      </c>
      <c r="C298" t="inlineStr">
        <is>
          <t>BQE</t>
        </is>
      </c>
      <c r="D298" t="inlineStr">
        <is>
          <t>BQE02010</t>
        </is>
      </c>
      <c r="E298" t="inlineStr">
        <is>
          <t>FRAIS PACKAGE 02/25</t>
        </is>
      </c>
      <c r="F298" t="inlineStr"/>
      <c r="G298" s="3" t="n">
        <v>0</v>
      </c>
      <c r="H298" s="3" t="n">
        <v>5950</v>
      </c>
      <c r="I298" s="3" t="n">
        <v>3839800</v>
      </c>
    </row>
    <row r="299">
      <c r="A299" t="n">
        <v>52110000</v>
      </c>
      <c r="B299" s="2" t="n">
        <v>45716</v>
      </c>
      <c r="C299" t="inlineStr">
        <is>
          <t>BQE</t>
        </is>
      </c>
      <c r="D299" t="inlineStr">
        <is>
          <t>BQE02011</t>
        </is>
      </c>
      <c r="E299" t="inlineStr">
        <is>
          <t>FRAIS EBANKING 02/25</t>
        </is>
      </c>
      <c r="F299" t="inlineStr"/>
      <c r="G299" s="3" t="n">
        <v>0</v>
      </c>
      <c r="H299" s="3" t="n">
        <v>2500</v>
      </c>
      <c r="I299" s="3" t="n">
        <v>3837300</v>
      </c>
    </row>
    <row r="300">
      <c r="A300" t="n">
        <v>52110000</v>
      </c>
      <c r="B300" s="2" t="n">
        <v>45722</v>
      </c>
      <c r="C300" t="inlineStr">
        <is>
          <t>BQE</t>
        </is>
      </c>
      <c r="D300" t="inlineStr">
        <is>
          <t>BQE02012</t>
        </is>
      </c>
      <c r="E300" t="inlineStr">
        <is>
          <t>VERSEMNT ESPECES</t>
        </is>
      </c>
      <c r="F300" t="inlineStr"/>
      <c r="G300" s="3" t="n">
        <v>41650</v>
      </c>
      <c r="H300" s="3" t="n">
        <v>0</v>
      </c>
      <c r="I300" s="3" t="n">
        <v>3878950</v>
      </c>
    </row>
    <row r="301">
      <c r="A301" t="n">
        <v>52110000</v>
      </c>
      <c r="B301" s="2" t="n">
        <v>45723</v>
      </c>
      <c r="C301" t="inlineStr">
        <is>
          <t>BQE</t>
        </is>
      </c>
      <c r="D301" t="inlineStr">
        <is>
          <t>BQE02013</t>
        </is>
      </c>
      <c r="E301" t="inlineStr">
        <is>
          <t>ESCOMPTE CHQORA 5338664</t>
        </is>
      </c>
      <c r="F301" t="inlineStr"/>
      <c r="G301" s="3" t="n">
        <v>150000</v>
      </c>
      <c r="H301" s="3" t="n">
        <v>0</v>
      </c>
      <c r="I301" s="3" t="n">
        <v>4028950</v>
      </c>
    </row>
    <row r="302">
      <c r="A302" t="n">
        <v>52110000</v>
      </c>
      <c r="B302" s="2" t="n">
        <v>45726</v>
      </c>
      <c r="C302" t="inlineStr">
        <is>
          <t>BQE</t>
        </is>
      </c>
      <c r="D302" t="inlineStr">
        <is>
          <t>BQE02014</t>
        </is>
      </c>
      <c r="E302" t="inlineStr">
        <is>
          <t>RETRAIT ESPECES</t>
        </is>
      </c>
      <c r="F302" t="inlineStr"/>
      <c r="G302" s="3" t="n">
        <v>0</v>
      </c>
      <c r="H302" s="3" t="n">
        <v>150000</v>
      </c>
      <c r="I302" s="3" t="n">
        <v>3878950</v>
      </c>
    </row>
    <row r="303">
      <c r="A303" t="n">
        <v>52110000</v>
      </c>
      <c r="B303" s="2" t="n">
        <v>45726</v>
      </c>
      <c r="C303" t="inlineStr">
        <is>
          <t>BQE</t>
        </is>
      </c>
      <c r="D303" t="inlineStr">
        <is>
          <t>BQE02015</t>
        </is>
      </c>
      <c r="E303" t="inlineStr">
        <is>
          <t>VERSMT ESPECES</t>
        </is>
      </c>
      <c r="F303" t="inlineStr"/>
      <c r="G303" s="3" t="n">
        <v>17500</v>
      </c>
      <c r="H303" s="3" t="n">
        <v>0</v>
      </c>
      <c r="I303" s="3" t="n">
        <v>3896450</v>
      </c>
    </row>
    <row r="304">
      <c r="A304" t="n">
        <v>52110000</v>
      </c>
      <c r="B304" s="2" t="n">
        <v>45726</v>
      </c>
      <c r="C304" t="inlineStr">
        <is>
          <t>BQE</t>
        </is>
      </c>
      <c r="D304" t="inlineStr">
        <is>
          <t>BQE02016</t>
        </is>
      </c>
      <c r="E304" t="inlineStr">
        <is>
          <t>VERSMT ESPECES</t>
        </is>
      </c>
      <c r="F304" t="inlineStr"/>
      <c r="G304" s="3" t="n">
        <v>70000</v>
      </c>
      <c r="H304" s="3" t="n">
        <v>0</v>
      </c>
      <c r="I304" s="3" t="n">
        <v>3966450</v>
      </c>
    </row>
    <row r="305">
      <c r="A305" t="n">
        <v>52110000</v>
      </c>
      <c r="B305" s="2" t="n">
        <v>45727</v>
      </c>
      <c r="C305" t="inlineStr">
        <is>
          <t>BQE</t>
        </is>
      </c>
      <c r="D305" t="inlineStr">
        <is>
          <t>BQE02017</t>
        </is>
      </c>
      <c r="E305" t="inlineStr">
        <is>
          <t>VERSMT ESPECES</t>
        </is>
      </c>
      <c r="F305" t="inlineStr"/>
      <c r="G305" s="3" t="n">
        <v>112000</v>
      </c>
      <c r="H305" s="3" t="n">
        <v>0</v>
      </c>
      <c r="I305" s="3" t="n">
        <v>4078450</v>
      </c>
    </row>
    <row r="306">
      <c r="A306" t="n">
        <v>52110000</v>
      </c>
      <c r="B306" s="2" t="n">
        <v>45727</v>
      </c>
      <c r="C306" t="inlineStr">
        <is>
          <t>BQE</t>
        </is>
      </c>
      <c r="D306" t="inlineStr">
        <is>
          <t>BQE02018</t>
        </is>
      </c>
      <c r="E306" t="inlineStr">
        <is>
          <t>VERSMT ESPECES</t>
        </is>
      </c>
      <c r="F306" t="inlineStr"/>
      <c r="G306" s="3" t="n">
        <v>35700</v>
      </c>
      <c r="H306" s="3" t="n">
        <v>0</v>
      </c>
      <c r="I306" s="3" t="n">
        <v>4114150</v>
      </c>
    </row>
    <row r="307">
      <c r="A307" t="n">
        <v>52110000</v>
      </c>
      <c r="B307" s="2" t="n">
        <v>45727</v>
      </c>
      <c r="C307" t="inlineStr">
        <is>
          <t>BQE</t>
        </is>
      </c>
      <c r="D307" t="inlineStr">
        <is>
          <t>BQE02019</t>
        </is>
      </c>
      <c r="E307" t="inlineStr">
        <is>
          <t>VERSMT ESPECES</t>
        </is>
      </c>
      <c r="F307" t="inlineStr"/>
      <c r="G307" s="3" t="n">
        <v>500000</v>
      </c>
      <c r="H307" s="3" t="n">
        <v>0</v>
      </c>
      <c r="I307" s="3" t="n">
        <v>4614150</v>
      </c>
    </row>
    <row r="308">
      <c r="A308" t="n">
        <v>52110000</v>
      </c>
      <c r="B308" s="2" t="n">
        <v>45727</v>
      </c>
      <c r="C308" t="inlineStr">
        <is>
          <t>BQE</t>
        </is>
      </c>
      <c r="D308" t="inlineStr">
        <is>
          <t>BQE02020</t>
        </is>
      </c>
      <c r="E308" t="inlineStr">
        <is>
          <t>VERSMT ESPECES</t>
        </is>
      </c>
      <c r="F308" t="inlineStr"/>
      <c r="G308" s="3" t="n">
        <v>67000</v>
      </c>
      <c r="H308" s="3" t="n">
        <v>0</v>
      </c>
      <c r="I308" s="3" t="n">
        <v>4681150</v>
      </c>
    </row>
    <row r="309">
      <c r="A309" t="n">
        <v>52110000</v>
      </c>
      <c r="B309" s="2" t="n">
        <v>45728</v>
      </c>
      <c r="C309" t="inlineStr">
        <is>
          <t>BQE</t>
        </is>
      </c>
      <c r="D309" t="inlineStr">
        <is>
          <t>BQE02021</t>
        </is>
      </c>
      <c r="E309" t="inlineStr">
        <is>
          <t>VERSMT ESPECES</t>
        </is>
      </c>
      <c r="F309" t="inlineStr"/>
      <c r="G309" s="3" t="n">
        <v>75000</v>
      </c>
      <c r="H309" s="3" t="n">
        <v>0</v>
      </c>
      <c r="I309" s="3" t="n">
        <v>4756150</v>
      </c>
    </row>
    <row r="310">
      <c r="A310" t="n">
        <v>52110000</v>
      </c>
      <c r="B310" s="2" t="n">
        <v>45728</v>
      </c>
      <c r="C310" t="inlineStr">
        <is>
          <t>BQE</t>
        </is>
      </c>
      <c r="D310" t="inlineStr">
        <is>
          <t>BQE02022</t>
        </is>
      </c>
      <c r="E310" t="inlineStr">
        <is>
          <t>REMISE CHQ</t>
        </is>
      </c>
      <c r="F310" t="inlineStr"/>
      <c r="G310" s="3" t="n">
        <v>1950000</v>
      </c>
      <c r="H310" s="3" t="n">
        <v>0</v>
      </c>
      <c r="I310" s="3" t="n">
        <v>6706150</v>
      </c>
    </row>
    <row r="311">
      <c r="A311" t="n">
        <v>52110000</v>
      </c>
      <c r="B311" s="2" t="n">
        <v>45729</v>
      </c>
      <c r="C311" t="inlineStr">
        <is>
          <t>BQE</t>
        </is>
      </c>
      <c r="D311" t="inlineStr">
        <is>
          <t>BQE02023</t>
        </is>
      </c>
      <c r="E311" t="inlineStr">
        <is>
          <t>FRAIS ESCOMPTE</t>
        </is>
      </c>
      <c r="F311" t="inlineStr"/>
      <c r="G311" s="3" t="n">
        <v>0</v>
      </c>
      <c r="H311" s="3" t="n">
        <v>9000</v>
      </c>
      <c r="I311" s="3" t="n">
        <v>6697150</v>
      </c>
    </row>
    <row r="312">
      <c r="A312" t="n">
        <v>52110000</v>
      </c>
      <c r="B312" s="2" t="n">
        <v>45729</v>
      </c>
      <c r="C312" t="inlineStr">
        <is>
          <t>BQE</t>
        </is>
      </c>
      <c r="D312" t="inlineStr">
        <is>
          <t>BQE02024</t>
        </is>
      </c>
      <c r="E312" t="inlineStr">
        <is>
          <t>VIR EMIS AGENCE LOYER</t>
        </is>
      </c>
      <c r="F312" t="inlineStr"/>
      <c r="G312" s="3" t="n">
        <v>0</v>
      </c>
      <c r="H312" s="3" t="n">
        <v>1654500</v>
      </c>
      <c r="I312" s="3" t="n">
        <v>5042650</v>
      </c>
    </row>
    <row r="313">
      <c r="A313" t="n">
        <v>52110000</v>
      </c>
      <c r="B313" s="2" t="n">
        <v>45729</v>
      </c>
      <c r="C313" t="inlineStr">
        <is>
          <t>BQE</t>
        </is>
      </c>
      <c r="D313" t="inlineStr">
        <is>
          <t>BQE02025</t>
        </is>
      </c>
      <c r="E313" t="inlineStr">
        <is>
          <t>REMB ESCOMPTE CHQ ORA5338664</t>
        </is>
      </c>
      <c r="F313" t="inlineStr"/>
      <c r="G313" s="3" t="n">
        <v>0</v>
      </c>
      <c r="H313" s="3" t="n">
        <v>150000</v>
      </c>
      <c r="I313" s="3" t="n">
        <v>4892650</v>
      </c>
    </row>
    <row r="314">
      <c r="A314" t="n">
        <v>52110000</v>
      </c>
      <c r="B314" s="2" t="n">
        <v>45734</v>
      </c>
      <c r="C314" t="inlineStr">
        <is>
          <t>BQE</t>
        </is>
      </c>
      <c r="D314" t="inlineStr">
        <is>
          <t>BQE02026</t>
        </is>
      </c>
      <c r="E314" t="inlineStr">
        <is>
          <t>VERSEMNT ESPECES</t>
        </is>
      </c>
      <c r="F314" t="inlineStr"/>
      <c r="G314" s="3" t="n">
        <v>63000</v>
      </c>
      <c r="H314" s="3" t="n">
        <v>0</v>
      </c>
      <c r="I314" s="3" t="n">
        <v>4955650</v>
      </c>
    </row>
    <row r="315">
      <c r="A315" t="n">
        <v>52110000</v>
      </c>
      <c r="B315" s="2" t="n">
        <v>45742</v>
      </c>
      <c r="C315" t="inlineStr">
        <is>
          <t>BQE</t>
        </is>
      </c>
      <c r="D315" t="inlineStr">
        <is>
          <t>BQE02027</t>
        </is>
      </c>
      <c r="E315" t="inlineStr">
        <is>
          <t>VERSEMNT ESPECES</t>
        </is>
      </c>
      <c r="F315" t="inlineStr"/>
      <c r="G315" s="3" t="n">
        <v>56350</v>
      </c>
      <c r="H315" s="3" t="n">
        <v>0</v>
      </c>
      <c r="I315" s="3" t="n">
        <v>5012000</v>
      </c>
    </row>
    <row r="316">
      <c r="A316" t="n">
        <v>52110000</v>
      </c>
      <c r="B316" s="2" t="n">
        <v>45742</v>
      </c>
      <c r="C316" t="inlineStr">
        <is>
          <t>BQE</t>
        </is>
      </c>
      <c r="D316" t="inlineStr">
        <is>
          <t>BQE02028</t>
        </is>
      </c>
      <c r="E316" t="inlineStr">
        <is>
          <t>FRAIS PACKAGE</t>
        </is>
      </c>
      <c r="F316" t="inlineStr"/>
      <c r="G316" s="3" t="n">
        <v>0</v>
      </c>
      <c r="H316" s="3" t="n">
        <v>5950</v>
      </c>
      <c r="I316" s="3" t="n">
        <v>5006050</v>
      </c>
    </row>
    <row r="317">
      <c r="A317" t="n">
        <v>52110000</v>
      </c>
      <c r="B317" s="2" t="n">
        <v>45744</v>
      </c>
      <c r="C317" t="inlineStr">
        <is>
          <t>BQE</t>
        </is>
      </c>
      <c r="D317" t="inlineStr">
        <is>
          <t>BQE02029</t>
        </is>
      </c>
      <c r="E317" t="inlineStr">
        <is>
          <t>FRAIS EBANKING</t>
        </is>
      </c>
      <c r="F317" t="inlineStr"/>
      <c r="G317" s="3" t="n">
        <v>0</v>
      </c>
      <c r="H317" s="3" t="n">
        <v>2500</v>
      </c>
      <c r="I317" s="3" t="n">
        <v>5003550</v>
      </c>
    </row>
    <row r="318">
      <c r="A318" t="n">
        <v>52110000</v>
      </c>
      <c r="B318" s="2" t="n">
        <v>45755</v>
      </c>
      <c r="C318" t="inlineStr">
        <is>
          <t>BQE</t>
        </is>
      </c>
      <c r="D318" t="inlineStr">
        <is>
          <t>BQE0401</t>
        </is>
      </c>
      <c r="E318" t="inlineStr">
        <is>
          <t>VERSEMENT ESPECES</t>
        </is>
      </c>
      <c r="F318" t="inlineStr"/>
      <c r="G318" s="3" t="n">
        <v>70000</v>
      </c>
      <c r="H318" s="3" t="n">
        <v>0</v>
      </c>
      <c r="I318" s="3" t="n">
        <v>5073550</v>
      </c>
    </row>
    <row r="319">
      <c r="A319" t="n">
        <v>52110000</v>
      </c>
      <c r="B319" s="2" t="n">
        <v>45761</v>
      </c>
      <c r="C319" t="inlineStr">
        <is>
          <t>BQE</t>
        </is>
      </c>
      <c r="D319" t="inlineStr">
        <is>
          <t>BQE0402</t>
        </is>
      </c>
      <c r="E319" t="inlineStr">
        <is>
          <t>VERSEMENT ESPECES</t>
        </is>
      </c>
      <c r="F319" t="inlineStr"/>
      <c r="G319" s="3" t="n">
        <v>35700</v>
      </c>
      <c r="H319" s="3" t="n">
        <v>0</v>
      </c>
      <c r="I319" s="3" t="n">
        <v>5109250</v>
      </c>
    </row>
    <row r="320">
      <c r="A320" t="n">
        <v>52110000</v>
      </c>
      <c r="B320" s="2" t="n">
        <v>45761</v>
      </c>
      <c r="C320" t="inlineStr">
        <is>
          <t>BQE</t>
        </is>
      </c>
      <c r="D320" t="inlineStr">
        <is>
          <t>BQE0403</t>
        </is>
      </c>
      <c r="E320" t="inlineStr">
        <is>
          <t>VERSEMENT ESPECES</t>
        </is>
      </c>
      <c r="F320" t="inlineStr"/>
      <c r="G320" s="3" t="n">
        <v>48650</v>
      </c>
      <c r="H320" s="3" t="n">
        <v>0</v>
      </c>
      <c r="I320" s="3" t="n">
        <v>5157900</v>
      </c>
    </row>
    <row r="321">
      <c r="A321" t="n">
        <v>52110000</v>
      </c>
      <c r="B321" s="2" t="n">
        <v>45761</v>
      </c>
      <c r="C321" t="inlineStr">
        <is>
          <t>BQE</t>
        </is>
      </c>
      <c r="D321" t="inlineStr">
        <is>
          <t>BQE0404</t>
        </is>
      </c>
      <c r="E321" t="inlineStr">
        <is>
          <t>VERSEMENT ESPECES</t>
        </is>
      </c>
      <c r="F321" t="inlineStr"/>
      <c r="G321" s="3" t="n">
        <v>75000</v>
      </c>
      <c r="H321" s="3" t="n">
        <v>0</v>
      </c>
      <c r="I321" s="3" t="n">
        <v>5232900</v>
      </c>
    </row>
    <row r="322">
      <c r="A322" t="n">
        <v>52110000</v>
      </c>
      <c r="B322" s="2" t="n">
        <v>45761</v>
      </c>
      <c r="C322" t="inlineStr">
        <is>
          <t>BQE</t>
        </is>
      </c>
      <c r="D322" t="inlineStr">
        <is>
          <t>BQE0405</t>
        </is>
      </c>
      <c r="E322" t="inlineStr">
        <is>
          <t>VERSEMENT ESPECES</t>
        </is>
      </c>
      <c r="F322" t="inlineStr"/>
      <c r="G322" s="3" t="n">
        <v>70000</v>
      </c>
      <c r="H322" s="3" t="n">
        <v>0</v>
      </c>
      <c r="I322" s="3" t="n">
        <v>5302900</v>
      </c>
    </row>
    <row r="323">
      <c r="A323" t="n">
        <v>52110000</v>
      </c>
      <c r="B323" s="2" t="n">
        <v>45761</v>
      </c>
      <c r="C323" t="inlineStr">
        <is>
          <t>BQE</t>
        </is>
      </c>
      <c r="D323" t="inlineStr">
        <is>
          <t>BQE0406</t>
        </is>
      </c>
      <c r="E323" t="inlineStr">
        <is>
          <t>VERSEMENT ESPECES</t>
        </is>
      </c>
      <c r="F323" t="inlineStr"/>
      <c r="G323" s="3" t="n">
        <v>500000</v>
      </c>
      <c r="H323" s="3" t="n">
        <v>0</v>
      </c>
      <c r="I323" s="3" t="n">
        <v>5802900</v>
      </c>
    </row>
    <row r="324">
      <c r="A324" t="n">
        <v>52110000</v>
      </c>
      <c r="B324" s="2" t="n">
        <v>45761</v>
      </c>
      <c r="C324" t="inlineStr">
        <is>
          <t>BQE</t>
        </is>
      </c>
      <c r="D324" t="inlineStr">
        <is>
          <t>BQE0407</t>
        </is>
      </c>
      <c r="E324" t="inlineStr">
        <is>
          <t>VERSEMENT ESPECES</t>
        </is>
      </c>
      <c r="F324" t="inlineStr"/>
      <c r="G324" s="3" t="n">
        <v>67000</v>
      </c>
      <c r="H324" s="3" t="n">
        <v>0</v>
      </c>
      <c r="I324" s="3" t="n">
        <v>5869900</v>
      </c>
    </row>
    <row r="325">
      <c r="A325" t="n">
        <v>52110000</v>
      </c>
      <c r="B325" s="2" t="n">
        <v>45762</v>
      </c>
      <c r="C325" t="inlineStr">
        <is>
          <t>BQE</t>
        </is>
      </c>
      <c r="D325" t="inlineStr">
        <is>
          <t>BQE408</t>
        </is>
      </c>
      <c r="E325" t="inlineStr">
        <is>
          <t>VIR RECU JOVITE CLAUDE</t>
        </is>
      </c>
      <c r="F325" t="inlineStr"/>
      <c r="G325" s="3" t="n">
        <v>990000</v>
      </c>
      <c r="H325" s="3" t="n">
        <v>0</v>
      </c>
      <c r="I325" s="3" t="n">
        <v>6859900</v>
      </c>
    </row>
    <row r="326">
      <c r="A326" t="n">
        <v>52110000</v>
      </c>
      <c r="B326" s="2" t="n">
        <v>45762</v>
      </c>
      <c r="C326" t="inlineStr">
        <is>
          <t>BQE</t>
        </is>
      </c>
      <c r="D326" t="inlineStr">
        <is>
          <t>BQE0408</t>
        </is>
      </c>
      <c r="E326" t="inlineStr">
        <is>
          <t>VERSEMENT ESPECES</t>
        </is>
      </c>
      <c r="F326" t="inlineStr"/>
      <c r="G326" s="3" t="n">
        <v>63000</v>
      </c>
      <c r="H326" s="3" t="n">
        <v>0</v>
      </c>
      <c r="I326" s="3" t="n">
        <v>6922900</v>
      </c>
    </row>
    <row r="327">
      <c r="A327" t="n">
        <v>52110000</v>
      </c>
      <c r="B327" s="2" t="n">
        <v>45763</v>
      </c>
      <c r="C327" t="inlineStr">
        <is>
          <t>BQE</t>
        </is>
      </c>
      <c r="D327" t="inlineStr">
        <is>
          <t>BQE0409</t>
        </is>
      </c>
      <c r="E327" t="inlineStr">
        <is>
          <t>VERSEMENT ESPECES</t>
        </is>
      </c>
      <c r="F327" t="inlineStr"/>
      <c r="G327" s="3" t="n">
        <v>17500</v>
      </c>
      <c r="H327" s="3" t="n">
        <v>0</v>
      </c>
      <c r="I327" s="3" t="n">
        <v>6940400</v>
      </c>
    </row>
    <row r="328">
      <c r="A328" t="n">
        <v>52110000</v>
      </c>
      <c r="B328" s="2" t="n">
        <v>45765</v>
      </c>
      <c r="C328" t="inlineStr">
        <is>
          <t>BQE</t>
        </is>
      </c>
      <c r="D328" t="inlineStr">
        <is>
          <t>BQE0410</t>
        </is>
      </c>
      <c r="E328" t="inlineStr">
        <is>
          <t>VIR EMIS ACOMPTE TRAVX AMENAGEMENT BRX</t>
        </is>
      </c>
      <c r="F328" t="inlineStr"/>
      <c r="G328" s="3" t="n">
        <v>0</v>
      </c>
      <c r="H328" s="3" t="n">
        <v>5000000</v>
      </c>
      <c r="I328" s="3" t="n">
        <v>1940400</v>
      </c>
    </row>
    <row r="329">
      <c r="A329" t="n">
        <v>52110000</v>
      </c>
      <c r="B329" s="2" t="n">
        <v>45765</v>
      </c>
      <c r="C329" t="inlineStr">
        <is>
          <t>BQE</t>
        </is>
      </c>
      <c r="D329" t="inlineStr">
        <is>
          <t>BQE0411</t>
        </is>
      </c>
      <c r="E329" t="inlineStr">
        <is>
          <t>VIR EMIS REVERSEMNT LOYERS</t>
        </is>
      </c>
      <c r="F329" t="inlineStr"/>
      <c r="G329" s="3" t="n">
        <v>0</v>
      </c>
      <c r="H329" s="3" t="n">
        <v>920700</v>
      </c>
      <c r="I329" s="3" t="n">
        <v>1019700</v>
      </c>
    </row>
    <row r="330">
      <c r="A330" t="n">
        <v>52110000</v>
      </c>
      <c r="B330" s="2" t="n">
        <v>45769</v>
      </c>
      <c r="C330" t="inlineStr">
        <is>
          <t>BQE</t>
        </is>
      </c>
      <c r="D330" t="inlineStr">
        <is>
          <t>BQE0412</t>
        </is>
      </c>
      <c r="E330" t="inlineStr">
        <is>
          <t>VERSMENT ESPECES</t>
        </is>
      </c>
      <c r="F330" t="inlineStr"/>
      <c r="G330" s="3" t="n">
        <v>50050</v>
      </c>
      <c r="H330" s="3" t="n">
        <v>0</v>
      </c>
      <c r="I330" s="3" t="n">
        <v>1069750</v>
      </c>
    </row>
    <row r="331">
      <c r="A331" t="n">
        <v>52110000</v>
      </c>
      <c r="B331" s="2" t="n">
        <v>45776</v>
      </c>
      <c r="C331" t="inlineStr">
        <is>
          <t>BQE</t>
        </is>
      </c>
      <c r="D331" t="inlineStr">
        <is>
          <t>BQE0413</t>
        </is>
      </c>
      <c r="E331" t="inlineStr">
        <is>
          <t>VERSMENT ESPECES</t>
        </is>
      </c>
      <c r="F331" t="inlineStr"/>
      <c r="G331" s="3" t="n">
        <v>28000</v>
      </c>
      <c r="H331" s="3" t="n">
        <v>0</v>
      </c>
      <c r="I331" s="3" t="n">
        <v>1097750</v>
      </c>
    </row>
    <row r="332">
      <c r="A332" t="n">
        <v>52110000</v>
      </c>
      <c r="B332" s="2" t="n">
        <v>45782</v>
      </c>
      <c r="C332" t="inlineStr">
        <is>
          <t>BQE</t>
        </is>
      </c>
      <c r="D332" t="inlineStr">
        <is>
          <t>BQE02030</t>
        </is>
      </c>
      <c r="E332" t="inlineStr">
        <is>
          <t>VERSEMENT ESPECES NZIENGUI PHILLIPE</t>
        </is>
      </c>
      <c r="F332" t="inlineStr"/>
      <c r="G332" s="3" t="n">
        <v>70000</v>
      </c>
      <c r="H332" s="3" t="n">
        <v>0</v>
      </c>
      <c r="I332" s="3" t="n">
        <v>1167750</v>
      </c>
    </row>
    <row r="333">
      <c r="A333" t="n">
        <v>52110000</v>
      </c>
      <c r="B333" s="2" t="n">
        <v>45786</v>
      </c>
      <c r="C333" t="inlineStr">
        <is>
          <t>BQE</t>
        </is>
      </c>
      <c r="D333" t="inlineStr">
        <is>
          <t>BQE02031</t>
        </is>
      </c>
      <c r="E333" t="inlineStr">
        <is>
          <t>VERSEMENT ESPECES BAMBOO IMMO/GUY PATRICK</t>
        </is>
      </c>
      <c r="F333" t="inlineStr"/>
      <c r="G333" s="3" t="n">
        <v>48300</v>
      </c>
      <c r="H333" s="3" t="n">
        <v>0</v>
      </c>
      <c r="I333" s="3" t="n">
        <v>1216050</v>
      </c>
    </row>
    <row r="334">
      <c r="A334" t="n">
        <v>52110000</v>
      </c>
      <c r="B334" s="2" t="n">
        <v>45786</v>
      </c>
      <c r="C334" t="inlineStr">
        <is>
          <t>BQE</t>
        </is>
      </c>
      <c r="D334" t="inlineStr">
        <is>
          <t>BQE02032</t>
        </is>
      </c>
      <c r="E334" t="inlineStr">
        <is>
          <t>VERSEMENT  ESPECES GUY PATRICK/BMBOO IMMO</t>
        </is>
      </c>
      <c r="F334" t="inlineStr"/>
      <c r="G334" s="3" t="n">
        <v>28000</v>
      </c>
      <c r="H334" s="3" t="n">
        <v>0</v>
      </c>
      <c r="I334" s="3" t="n">
        <v>1244050</v>
      </c>
    </row>
    <row r="335">
      <c r="A335" t="n">
        <v>52110000</v>
      </c>
      <c r="B335" s="2" t="n">
        <v>45789</v>
      </c>
      <c r="C335" t="inlineStr">
        <is>
          <t>BQE</t>
        </is>
      </c>
      <c r="D335" t="inlineStr">
        <is>
          <t>BQE02033</t>
        </is>
      </c>
      <c r="E335" t="inlineStr">
        <is>
          <t>VERSMENT ESPECES GUY PATRICK</t>
        </is>
      </c>
      <c r="F335" t="inlineStr"/>
      <c r="G335" s="3" t="n">
        <v>500000</v>
      </c>
      <c r="H335" s="3" t="n">
        <v>0</v>
      </c>
      <c r="I335" s="3" t="n">
        <v>1744050</v>
      </c>
    </row>
    <row r="336">
      <c r="A336" t="n">
        <v>52110000</v>
      </c>
      <c r="B336" s="2" t="n">
        <v>45789</v>
      </c>
      <c r="C336" t="inlineStr">
        <is>
          <t>BQE</t>
        </is>
      </c>
      <c r="D336" t="inlineStr">
        <is>
          <t>BQE02034</t>
        </is>
      </c>
      <c r="E336" t="inlineStr">
        <is>
          <t>VERSEMENT ESPECES BAMBOO IMMO/GUY PATRICK</t>
        </is>
      </c>
      <c r="F336" t="inlineStr"/>
      <c r="G336" s="3" t="n">
        <v>67000</v>
      </c>
      <c r="H336" s="3" t="n">
        <v>0</v>
      </c>
      <c r="I336" s="3" t="n">
        <v>1811050</v>
      </c>
    </row>
    <row r="337">
      <c r="A337" t="n">
        <v>52110000</v>
      </c>
      <c r="B337" s="2" t="n">
        <v>45789</v>
      </c>
      <c r="C337" t="inlineStr">
        <is>
          <t>BQE</t>
        </is>
      </c>
      <c r="D337" t="inlineStr">
        <is>
          <t>BQE02035</t>
        </is>
      </c>
      <c r="E337" t="inlineStr">
        <is>
          <t>VERSEMENT ESPECES GUY PATRICK</t>
        </is>
      </c>
      <c r="F337" t="inlineStr"/>
      <c r="G337" s="3" t="n">
        <v>17500</v>
      </c>
      <c r="H337" s="3" t="n">
        <v>0</v>
      </c>
      <c r="I337" s="3" t="n">
        <v>1828550</v>
      </c>
    </row>
    <row r="338">
      <c r="A338" t="n">
        <v>52110000</v>
      </c>
      <c r="B338" s="2" t="n">
        <v>45789</v>
      </c>
      <c r="C338" t="inlineStr">
        <is>
          <t>BQE</t>
        </is>
      </c>
      <c r="D338" t="inlineStr">
        <is>
          <t>BQE02036</t>
        </is>
      </c>
      <c r="E338" t="inlineStr">
        <is>
          <t>VERSEMENT ESPECES NBAMBOO IMMO/GUY PATRICK</t>
        </is>
      </c>
      <c r="F338" t="inlineStr"/>
      <c r="G338" s="3" t="n">
        <v>75000</v>
      </c>
      <c r="H338" s="3" t="n">
        <v>0</v>
      </c>
      <c r="I338" s="3" t="n">
        <v>1903550</v>
      </c>
    </row>
    <row r="339">
      <c r="A339" t="n">
        <v>52110000</v>
      </c>
      <c r="B339" s="2" t="n">
        <v>45792</v>
      </c>
      <c r="C339" t="inlineStr">
        <is>
          <t>BQE</t>
        </is>
      </c>
      <c r="D339" t="inlineStr">
        <is>
          <t>BQE02037</t>
        </is>
      </c>
      <c r="E339" t="inlineStr">
        <is>
          <t>VERSEMENT ESPECES BAMBOO IMMO/GUY PATRCIK</t>
        </is>
      </c>
      <c r="F339" t="inlineStr"/>
      <c r="G339" s="3" t="n">
        <v>17850</v>
      </c>
      <c r="H339" s="3" t="n">
        <v>0</v>
      </c>
      <c r="I339" s="3" t="n">
        <v>1921400</v>
      </c>
    </row>
    <row r="340">
      <c r="A340" t="n">
        <v>52110000</v>
      </c>
      <c r="B340" s="2" t="n">
        <v>45797</v>
      </c>
      <c r="C340" t="inlineStr">
        <is>
          <t>BQE</t>
        </is>
      </c>
      <c r="D340" t="inlineStr">
        <is>
          <t>BQE02038</t>
        </is>
      </c>
      <c r="E340" t="inlineStr">
        <is>
          <t>VERSEMENT ESPECES BAMBOO IMMO/GUY PATRICK</t>
        </is>
      </c>
      <c r="F340" t="inlineStr"/>
      <c r="G340" s="3" t="n">
        <v>70000</v>
      </c>
      <c r="H340" s="3" t="n">
        <v>0</v>
      </c>
      <c r="I340" s="3" t="n">
        <v>1991400</v>
      </c>
    </row>
    <row r="341">
      <c r="A341" t="n">
        <v>52110000</v>
      </c>
      <c r="B341" s="2" t="n">
        <v>45799</v>
      </c>
      <c r="C341" t="inlineStr">
        <is>
          <t>BQE</t>
        </is>
      </c>
      <c r="D341" t="inlineStr">
        <is>
          <t>BQE02039</t>
        </is>
      </c>
      <c r="E341" t="inlineStr">
        <is>
          <t>VERSEMENT ESPECES BAMBOO IMMO/GUY PATRICK</t>
        </is>
      </c>
      <c r="F341" t="inlineStr"/>
      <c r="G341" s="3" t="n">
        <v>63000</v>
      </c>
      <c r="H341" s="3" t="n">
        <v>0</v>
      </c>
      <c r="I341" s="3" t="n">
        <v>2054400</v>
      </c>
    </row>
    <row r="342">
      <c r="A342" t="n">
        <v>52110000</v>
      </c>
      <c r="B342" s="2" t="n">
        <v>45799</v>
      </c>
      <c r="C342" t="inlineStr">
        <is>
          <t>BQE</t>
        </is>
      </c>
      <c r="D342" t="inlineStr">
        <is>
          <t>BQE02040</t>
        </is>
      </c>
      <c r="E342" t="inlineStr">
        <is>
          <t>VERSEMENT ESPECES BAMBOO IMMO/GUY PATRICK</t>
        </is>
      </c>
      <c r="F342" t="inlineStr"/>
      <c r="G342" s="3" t="n">
        <v>25200</v>
      </c>
      <c r="H342" s="3" t="n">
        <v>0</v>
      </c>
      <c r="I342" s="3" t="n">
        <v>2079600</v>
      </c>
    </row>
    <row r="343">
      <c r="A343" t="n">
        <v>52110000</v>
      </c>
      <c r="B343" s="2" t="n">
        <v>45804</v>
      </c>
      <c r="C343" t="inlineStr">
        <is>
          <t>BQE</t>
        </is>
      </c>
      <c r="D343" t="inlineStr">
        <is>
          <t>BQE02041</t>
        </is>
      </c>
      <c r="E343" t="inlineStr">
        <is>
          <t>VERSEMENT ESPECES BAMBOO IMMO/GUY PATRICK</t>
        </is>
      </c>
      <c r="F343" t="inlineStr"/>
      <c r="G343" s="3" t="n">
        <v>73150</v>
      </c>
      <c r="H343" s="3" t="n">
        <v>0</v>
      </c>
      <c r="I343" s="3" t="n">
        <v>2152750</v>
      </c>
    </row>
    <row r="344">
      <c r="A344" t="n">
        <v>52110000</v>
      </c>
      <c r="B344" s="2" t="n">
        <v>45812</v>
      </c>
      <c r="C344" t="inlineStr">
        <is>
          <t>BQE</t>
        </is>
      </c>
      <c r="D344" t="inlineStr">
        <is>
          <t>BQE06001</t>
        </is>
      </c>
      <c r="E344" t="inlineStr">
        <is>
          <t>ASSURANCE REPONSABILLITE CIVILE BAMBOO IMMO</t>
        </is>
      </c>
      <c r="F344" t="inlineStr"/>
      <c r="G344" s="3" t="n">
        <v>0</v>
      </c>
      <c r="H344" s="3" t="n">
        <v>119900</v>
      </c>
      <c r="I344" s="3" t="n">
        <v>2032850</v>
      </c>
    </row>
    <row r="345">
      <c r="A345" t="n">
        <v>52110000</v>
      </c>
      <c r="B345" s="2" t="n">
        <v>45818</v>
      </c>
      <c r="C345" t="inlineStr">
        <is>
          <t>BQE</t>
        </is>
      </c>
      <c r="D345" t="inlineStr">
        <is>
          <t>BQE06002</t>
        </is>
      </c>
      <c r="E345" t="inlineStr">
        <is>
          <t>VERSEMENT ESPECE OKOUDIE C</t>
        </is>
      </c>
      <c r="F345" t="inlineStr"/>
      <c r="G345" s="3" t="n">
        <v>43400</v>
      </c>
      <c r="H345" s="3" t="n">
        <v>0</v>
      </c>
      <c r="I345" s="3" t="n">
        <v>2076250</v>
      </c>
    </row>
    <row r="346">
      <c r="A346" t="n">
        <v>52110000</v>
      </c>
      <c r="B346" s="2" t="n">
        <v>45818</v>
      </c>
      <c r="C346" t="inlineStr">
        <is>
          <t>BQE</t>
        </is>
      </c>
      <c r="D346" t="inlineStr">
        <is>
          <t>BQE06003</t>
        </is>
      </c>
      <c r="E346" t="inlineStr">
        <is>
          <t>VERSEMENT ESPECE BAMBOO IMMO/GUY PATRICK</t>
        </is>
      </c>
      <c r="F346" t="inlineStr"/>
      <c r="G346" s="3" t="n">
        <v>67000</v>
      </c>
      <c r="H346" s="3" t="n">
        <v>0</v>
      </c>
      <c r="I346" s="3" t="n">
        <v>2143250</v>
      </c>
    </row>
    <row r="347">
      <c r="A347" t="n">
        <v>52110000</v>
      </c>
      <c r="B347" s="2" t="n">
        <v>45818</v>
      </c>
      <c r="C347" t="inlineStr">
        <is>
          <t>BQE</t>
        </is>
      </c>
      <c r="D347" t="inlineStr">
        <is>
          <t>BQE06004</t>
        </is>
      </c>
      <c r="E347" t="inlineStr">
        <is>
          <t>VERSEMENT ESPECE BAMBOO IMMO/GUY PATRICK</t>
        </is>
      </c>
      <c r="F347" t="inlineStr"/>
      <c r="G347" s="3" t="n">
        <v>35700</v>
      </c>
      <c r="H347" s="3" t="n">
        <v>0</v>
      </c>
      <c r="I347" s="3" t="n">
        <v>2178950</v>
      </c>
    </row>
    <row r="348">
      <c r="A348" t="n">
        <v>52110000</v>
      </c>
      <c r="B348" s="2" t="n">
        <v>45819</v>
      </c>
      <c r="C348" t="inlineStr">
        <is>
          <t>BQE</t>
        </is>
      </c>
      <c r="D348" t="inlineStr">
        <is>
          <t>BQE06005</t>
        </is>
      </c>
      <c r="E348" t="inlineStr">
        <is>
          <t>VERSEMENT ESPECE BAMBOO IMMO/GUY PATRICK</t>
        </is>
      </c>
      <c r="F348" t="inlineStr"/>
      <c r="G348" s="3" t="n">
        <v>42000</v>
      </c>
      <c r="H348" s="3" t="n">
        <v>0</v>
      </c>
      <c r="I348" s="3" t="n">
        <v>2220950</v>
      </c>
    </row>
    <row r="349">
      <c r="A349" t="n">
        <v>52110000</v>
      </c>
      <c r="B349" s="2" t="n">
        <v>45821</v>
      </c>
      <c r="C349" t="inlineStr">
        <is>
          <t>BQE</t>
        </is>
      </c>
      <c r="D349" t="inlineStr">
        <is>
          <t>BQE06006</t>
        </is>
      </c>
      <c r="E349" t="inlineStr">
        <is>
          <t>VERSEMENT ESPECE BAMBOO IMMO/GUY PATRICK</t>
        </is>
      </c>
      <c r="F349" t="inlineStr"/>
      <c r="G349" s="3" t="n">
        <v>70000</v>
      </c>
      <c r="H349" s="3" t="n">
        <v>0</v>
      </c>
      <c r="I349" s="3" t="n">
        <v>2290950</v>
      </c>
    </row>
    <row r="350">
      <c r="A350" t="n">
        <v>52110000</v>
      </c>
      <c r="B350" s="2" t="n">
        <v>45821</v>
      </c>
      <c r="C350" t="inlineStr">
        <is>
          <t>BQE</t>
        </is>
      </c>
      <c r="D350" t="inlineStr">
        <is>
          <t>BQE06007</t>
        </is>
      </c>
      <c r="E350" t="inlineStr">
        <is>
          <t>VERSEMENT ESPECE BAMBOO IMMO</t>
        </is>
      </c>
      <c r="F350" t="inlineStr"/>
      <c r="G350" s="3" t="n">
        <v>75000</v>
      </c>
      <c r="H350" s="3" t="n">
        <v>0</v>
      </c>
      <c r="I350" s="3" t="n">
        <v>2365950</v>
      </c>
    </row>
    <row r="351">
      <c r="A351" t="n">
        <v>52110000</v>
      </c>
      <c r="B351" s="2" t="n">
        <v>45821</v>
      </c>
      <c r="C351" t="inlineStr">
        <is>
          <t>BQE</t>
        </is>
      </c>
      <c r="D351" t="inlineStr">
        <is>
          <t>BQE06008</t>
        </is>
      </c>
      <c r="E351" t="inlineStr">
        <is>
          <t>VERSEMENT ESPECE BAMBOO IMMO/HONORAIRE/GUY PATRICK</t>
        </is>
      </c>
      <c r="F351" t="inlineStr"/>
      <c r="G351" s="3" t="n">
        <v>17500</v>
      </c>
      <c r="H351" s="3" t="n">
        <v>0</v>
      </c>
      <c r="I351" s="3" t="n">
        <v>2383450</v>
      </c>
    </row>
    <row r="352">
      <c r="A352" t="n">
        <v>52110000</v>
      </c>
      <c r="B352" s="2" t="n">
        <v>45824</v>
      </c>
      <c r="C352" t="inlineStr">
        <is>
          <t>BQE</t>
        </is>
      </c>
      <c r="D352" t="inlineStr">
        <is>
          <t>BQE06009</t>
        </is>
      </c>
      <c r="E352" t="inlineStr">
        <is>
          <t>VIREMENT RECU BENSON PETHER REFERENDUM</t>
        </is>
      </c>
      <c r="F352" t="inlineStr"/>
      <c r="G352" s="3" t="n">
        <v>136500</v>
      </c>
      <c r="H352" s="3" t="n">
        <v>0</v>
      </c>
      <c r="I352" s="3" t="n">
        <v>2519950</v>
      </c>
    </row>
    <row r="353">
      <c r="A353" t="n">
        <v>52110000</v>
      </c>
      <c r="B353" s="2" t="n">
        <v>45825</v>
      </c>
      <c r="C353" t="inlineStr">
        <is>
          <t>BQE</t>
        </is>
      </c>
      <c r="D353" t="inlineStr">
        <is>
          <t>BQE06010</t>
        </is>
      </c>
      <c r="E353" t="inlineStr">
        <is>
          <t>VERSEMENT ESPECE BAMBOO IMMO/GUY PATRICK</t>
        </is>
      </c>
      <c r="F353" t="inlineStr"/>
      <c r="G353" s="3" t="n">
        <v>43400</v>
      </c>
      <c r="H353" s="3" t="n">
        <v>0</v>
      </c>
      <c r="I353" s="3" t="n">
        <v>2563350</v>
      </c>
    </row>
    <row r="354">
      <c r="A354" t="n">
        <v>52110000</v>
      </c>
      <c r="B354" s="2" t="n">
        <v>45832</v>
      </c>
      <c r="C354" t="inlineStr">
        <is>
          <t>BQE</t>
        </is>
      </c>
      <c r="D354" t="inlineStr">
        <is>
          <t>BQE06011</t>
        </is>
      </c>
      <c r="E354" t="inlineStr">
        <is>
          <t>VERSEMENT ESPECE BAMBOO IMMO/HONORAIRE/GUY PATRICK</t>
        </is>
      </c>
      <c r="F354" t="inlineStr"/>
      <c r="G354" s="3" t="n">
        <v>21700</v>
      </c>
      <c r="H354" s="3" t="n">
        <v>0</v>
      </c>
      <c r="I354" s="3" t="n">
        <v>2585050</v>
      </c>
    </row>
    <row r="355">
      <c r="A355" t="n">
        <v>52110000</v>
      </c>
      <c r="B355" s="2" t="n">
        <v>45833</v>
      </c>
      <c r="C355" t="inlineStr">
        <is>
          <t>BQE</t>
        </is>
      </c>
      <c r="D355" t="inlineStr">
        <is>
          <t>BQE06012</t>
        </is>
      </c>
      <c r="E355" t="inlineStr">
        <is>
          <t>VERSEMENT ESPECE PHILIPPE</t>
        </is>
      </c>
      <c r="F355" t="inlineStr"/>
      <c r="G355" s="3" t="n">
        <v>70000</v>
      </c>
      <c r="H355" s="3" t="n">
        <v>0</v>
      </c>
      <c r="I355" s="3" t="n">
        <v>2655050</v>
      </c>
    </row>
    <row r="356">
      <c r="A356" t="n">
        <v>52110000</v>
      </c>
      <c r="B356" s="2" t="n">
        <v>45835</v>
      </c>
      <c r="C356" t="inlineStr">
        <is>
          <t>BQE</t>
        </is>
      </c>
      <c r="D356" t="inlineStr">
        <is>
          <t>BQE06013</t>
        </is>
      </c>
      <c r="E356" t="inlineStr">
        <is>
          <t>VIR/EMIS/INTRA/AGENCE/REGLEMENT FACTURE JUIN 2025</t>
        </is>
      </c>
      <c r="F356" t="inlineStr"/>
      <c r="G356" s="3" t="n">
        <v>0</v>
      </c>
      <c r="H356" s="3" t="n">
        <v>200000</v>
      </c>
      <c r="I356" s="3" t="n">
        <v>2455050</v>
      </c>
    </row>
    <row r="357">
      <c r="A357" t="n">
        <v>52110000</v>
      </c>
      <c r="B357" s="2" t="n">
        <v>45845</v>
      </c>
      <c r="C357" t="inlineStr">
        <is>
          <t>BQE</t>
        </is>
      </c>
      <c r="D357" t="inlineStr">
        <is>
          <t>BQ07001</t>
        </is>
      </c>
      <c r="E357" t="inlineStr">
        <is>
          <t>VERS ESP HONORAIRE GUY PATRICK</t>
        </is>
      </c>
      <c r="F357" t="inlineStr"/>
      <c r="G357" s="3" t="n">
        <v>50050</v>
      </c>
      <c r="H357" s="3" t="n">
        <v>0</v>
      </c>
      <c r="I357" s="3" t="n">
        <v>2505100</v>
      </c>
    </row>
    <row r="358">
      <c r="A358" t="n">
        <v>52110000</v>
      </c>
      <c r="B358" s="2" t="n">
        <v>45845</v>
      </c>
      <c r="C358" t="inlineStr">
        <is>
          <t>BQE</t>
        </is>
      </c>
      <c r="D358" t="inlineStr">
        <is>
          <t>BQ07002</t>
        </is>
      </c>
      <c r="E358" t="inlineStr">
        <is>
          <t>VERS ESP BIMMO GUY PATRICK</t>
        </is>
      </c>
      <c r="F358" t="inlineStr"/>
      <c r="G358" s="3" t="n">
        <v>28000</v>
      </c>
      <c r="H358" s="3" t="n">
        <v>0</v>
      </c>
      <c r="I358" s="3" t="n">
        <v>2533100</v>
      </c>
    </row>
    <row r="359">
      <c r="A359" t="n">
        <v>52110000</v>
      </c>
      <c r="B359" s="2" t="n">
        <v>45845</v>
      </c>
      <c r="C359" t="inlineStr">
        <is>
          <t>BQE</t>
        </is>
      </c>
      <c r="D359" t="inlineStr">
        <is>
          <t>BQ07003</t>
        </is>
      </c>
      <c r="E359" t="inlineStr">
        <is>
          <t>VERS ESP BIMMO GUY PATRICK</t>
        </is>
      </c>
      <c r="F359" t="inlineStr"/>
      <c r="G359" s="3" t="n">
        <v>54250</v>
      </c>
      <c r="H359" s="3" t="n">
        <v>0</v>
      </c>
      <c r="I359" s="3" t="n">
        <v>2587350</v>
      </c>
    </row>
    <row r="360">
      <c r="A360" t="n">
        <v>52110000</v>
      </c>
      <c r="B360" s="2" t="n">
        <v>45847</v>
      </c>
      <c r="C360" t="inlineStr">
        <is>
          <t>BQE</t>
        </is>
      </c>
      <c r="D360" t="inlineStr">
        <is>
          <t>BQ07004</t>
        </is>
      </c>
      <c r="E360" t="inlineStr">
        <is>
          <t>VERS ESP BIMMO GUY PATRICK</t>
        </is>
      </c>
      <c r="F360" t="inlineStr"/>
      <c r="G360" s="3" t="n">
        <v>23800</v>
      </c>
      <c r="H360" s="3" t="n">
        <v>0</v>
      </c>
      <c r="I360" s="3" t="n">
        <v>2611150</v>
      </c>
    </row>
    <row r="361">
      <c r="A361" t="n">
        <v>52110000</v>
      </c>
      <c r="B361" s="2" t="n">
        <v>45847</v>
      </c>
      <c r="C361" t="inlineStr">
        <is>
          <t>BQE</t>
        </is>
      </c>
      <c r="D361" t="inlineStr">
        <is>
          <t>BQ07005</t>
        </is>
      </c>
      <c r="E361" t="inlineStr">
        <is>
          <t>VERS ESP BIMMO GUY PATRICK</t>
        </is>
      </c>
      <c r="F361" t="inlineStr"/>
      <c r="G361" s="3" t="n">
        <v>35700</v>
      </c>
      <c r="H361" s="3" t="n">
        <v>0</v>
      </c>
      <c r="I361" s="3" t="n">
        <v>2646850</v>
      </c>
    </row>
    <row r="362">
      <c r="A362" t="n">
        <v>52110000</v>
      </c>
      <c r="B362" s="2" t="n">
        <v>45848</v>
      </c>
      <c r="C362" t="inlineStr">
        <is>
          <t>BQE</t>
        </is>
      </c>
      <c r="D362" t="inlineStr">
        <is>
          <t>BQ07006</t>
        </is>
      </c>
      <c r="E362" t="inlineStr">
        <is>
          <t>VERS ESP CREPIN OKOUDIE</t>
        </is>
      </c>
      <c r="F362" t="inlineStr"/>
      <c r="G362" s="3" t="n">
        <v>43400</v>
      </c>
      <c r="H362" s="3" t="n">
        <v>0</v>
      </c>
      <c r="I362" s="3" t="n">
        <v>2690250</v>
      </c>
    </row>
    <row r="363">
      <c r="A363" t="n">
        <v>52110000</v>
      </c>
      <c r="B363" s="2" t="n">
        <v>45848</v>
      </c>
      <c r="C363" t="inlineStr">
        <is>
          <t>BQE</t>
        </is>
      </c>
      <c r="D363" t="inlineStr">
        <is>
          <t>BQ07007</t>
        </is>
      </c>
      <c r="E363" t="inlineStr">
        <is>
          <t>VERS ESP BIMMO GUY PATRICK</t>
        </is>
      </c>
      <c r="F363" t="inlineStr"/>
      <c r="G363" s="3" t="n">
        <v>75000</v>
      </c>
      <c r="H363" s="3" t="n">
        <v>0</v>
      </c>
      <c r="I363" s="3" t="n">
        <v>2765250</v>
      </c>
    </row>
    <row r="364">
      <c r="A364" t="n">
        <v>52110000</v>
      </c>
      <c r="B364" s="2" t="n">
        <v>45854</v>
      </c>
      <c r="C364" t="inlineStr">
        <is>
          <t>BQE</t>
        </is>
      </c>
      <c r="D364" t="inlineStr">
        <is>
          <t>BQ07008</t>
        </is>
      </c>
      <c r="E364" t="inlineStr">
        <is>
          <t>VERS ESP PHILIPPE</t>
        </is>
      </c>
      <c r="F364" t="inlineStr"/>
      <c r="G364" s="3" t="n">
        <v>70000</v>
      </c>
      <c r="H364" s="3" t="n">
        <v>0</v>
      </c>
      <c r="I364" s="3" t="n">
        <v>2835250</v>
      </c>
    </row>
    <row r="365">
      <c r="A365" t="n">
        <v>52110000</v>
      </c>
      <c r="B365" s="2" t="n">
        <v>45855</v>
      </c>
      <c r="C365" t="inlineStr">
        <is>
          <t>BQE</t>
        </is>
      </c>
      <c r="D365" t="inlineStr">
        <is>
          <t>BQ07009</t>
        </is>
      </c>
      <c r="E365" t="inlineStr">
        <is>
          <t>VERS ESP BIMMO GUY PATRICK</t>
        </is>
      </c>
      <c r="F365" t="inlineStr"/>
      <c r="G365" s="3" t="n">
        <v>67000</v>
      </c>
      <c r="H365" s="3" t="n">
        <v>0</v>
      </c>
      <c r="I365" s="3" t="n">
        <v>2902250</v>
      </c>
    </row>
    <row r="366">
      <c r="A366" t="n">
        <v>52110000</v>
      </c>
      <c r="B366" s="2" t="n">
        <v>45859</v>
      </c>
      <c r="C366" t="inlineStr">
        <is>
          <t>BQE</t>
        </is>
      </c>
      <c r="D366" t="inlineStr">
        <is>
          <t>BQ07010</t>
        </is>
      </c>
      <c r="E366" t="inlineStr">
        <is>
          <t>VERS ESP BIMMO GUY PATRICK</t>
        </is>
      </c>
      <c r="F366" t="inlineStr"/>
      <c r="G366" s="3" t="n">
        <v>29400</v>
      </c>
      <c r="H366" s="3" t="n">
        <v>0</v>
      </c>
      <c r="I366" s="3" t="n">
        <v>2931650</v>
      </c>
    </row>
    <row r="367">
      <c r="A367" t="n">
        <v>52110000</v>
      </c>
      <c r="B367" s="2" t="n">
        <v>45860</v>
      </c>
      <c r="C367" t="inlineStr">
        <is>
          <t>BQE</t>
        </is>
      </c>
      <c r="D367" t="inlineStr">
        <is>
          <t>BQ07011</t>
        </is>
      </c>
      <c r="E367" t="inlineStr">
        <is>
          <t>VERS ESP BIMMO GUY PATRICK</t>
        </is>
      </c>
      <c r="F367" t="inlineStr"/>
      <c r="G367" s="3" t="n">
        <v>25550</v>
      </c>
      <c r="H367" s="3" t="n">
        <v>0</v>
      </c>
      <c r="I367" s="3" t="n">
        <v>2957200</v>
      </c>
    </row>
    <row r="368">
      <c r="A368" t="n">
        <v>52110000</v>
      </c>
      <c r="B368" s="2" t="n">
        <v>45867</v>
      </c>
      <c r="C368" t="inlineStr">
        <is>
          <t>BQE</t>
        </is>
      </c>
      <c r="D368" t="inlineStr">
        <is>
          <t>BQ07012</t>
        </is>
      </c>
      <c r="E368" t="inlineStr">
        <is>
          <t>VIR RECU JOVITE CLAUDE CHRISTIAN MBOUI ONDO</t>
        </is>
      </c>
      <c r="F368" t="inlineStr"/>
      <c r="G368" s="3" t="n">
        <v>990000</v>
      </c>
      <c r="H368" s="3" t="n">
        <v>0</v>
      </c>
      <c r="I368" s="3" t="n">
        <v>3947200</v>
      </c>
    </row>
    <row r="369">
      <c r="A369" t="n">
        <v>52110000</v>
      </c>
      <c r="B369" s="2" t="n">
        <v>45868</v>
      </c>
      <c r="C369" t="inlineStr">
        <is>
          <t>BQE</t>
        </is>
      </c>
      <c r="D369" t="inlineStr">
        <is>
          <t>BQ07013</t>
        </is>
      </c>
      <c r="E369" t="inlineStr">
        <is>
          <t>VERS ESP BIMMO GUY PATRICK</t>
        </is>
      </c>
      <c r="F369" t="inlineStr"/>
      <c r="G369" s="3" t="n">
        <v>12250</v>
      </c>
      <c r="H369" s="3" t="n">
        <v>0</v>
      </c>
      <c r="I369" s="3" t="n">
        <v>3959450</v>
      </c>
    </row>
    <row r="370">
      <c r="A370" t="n">
        <v>52110000</v>
      </c>
      <c r="B370" s="2" t="n">
        <v>45868</v>
      </c>
      <c r="C370" t="inlineStr">
        <is>
          <t>BQE</t>
        </is>
      </c>
      <c r="D370" t="inlineStr">
        <is>
          <t>BQ07014</t>
        </is>
      </c>
      <c r="E370" t="inlineStr">
        <is>
          <t>VERS ESP BIMMO GUY PATRICK</t>
        </is>
      </c>
      <c r="F370" t="inlineStr"/>
      <c r="G370" s="3" t="n">
        <v>20650</v>
      </c>
      <c r="H370" s="3" t="n">
        <v>0</v>
      </c>
      <c r="I370" s="3" t="n">
        <v>3980100</v>
      </c>
    </row>
    <row r="371">
      <c r="A371" t="n">
        <v>52110000</v>
      </c>
      <c r="B371" s="2" t="n">
        <v>45869</v>
      </c>
      <c r="C371" t="inlineStr">
        <is>
          <t>BQE</t>
        </is>
      </c>
      <c r="D371" t="inlineStr">
        <is>
          <t>BQ07015</t>
        </is>
      </c>
      <c r="E371" t="inlineStr">
        <is>
          <t>VIR EMIS INTRA AGENCE TRANSFERT DES LOYERS</t>
        </is>
      </c>
      <c r="F371" t="inlineStr"/>
      <c r="G371" s="3" t="n">
        <v>0</v>
      </c>
      <c r="H371" s="3" t="n">
        <v>920700</v>
      </c>
      <c r="I371" s="3" t="n">
        <v>3059400</v>
      </c>
    </row>
    <row r="372">
      <c r="A372" t="n">
        <v>52110000</v>
      </c>
      <c r="B372" s="2" t="n">
        <v>45876</v>
      </c>
      <c r="C372" t="inlineStr">
        <is>
          <t>BQE</t>
        </is>
      </c>
      <c r="D372" t="inlineStr">
        <is>
          <t>BQ08001</t>
        </is>
      </c>
      <c r="E372" t="inlineStr">
        <is>
          <t>VER ESP BAMBOO IMMO</t>
        </is>
      </c>
      <c r="F372" t="inlineStr"/>
      <c r="G372" s="3" t="n">
        <v>45500</v>
      </c>
      <c r="H372" s="3" t="n">
        <v>0</v>
      </c>
      <c r="I372" s="3" t="n">
        <v>3104900</v>
      </c>
    </row>
    <row r="373">
      <c r="A373" t="n">
        <v>52110000</v>
      </c>
      <c r="B373" s="2" t="n">
        <v>45877</v>
      </c>
      <c r="C373" t="inlineStr">
        <is>
          <t>BQE</t>
        </is>
      </c>
      <c r="D373" t="inlineStr">
        <is>
          <t>BQ08002</t>
        </is>
      </c>
      <c r="E373" t="inlineStr">
        <is>
          <t>RELT FACTURE JUILLET 2BNC</t>
        </is>
      </c>
      <c r="F373" t="inlineStr"/>
      <c r="G373" s="3" t="n">
        <v>0</v>
      </c>
      <c r="H373" s="3" t="n">
        <v>200000</v>
      </c>
      <c r="I373" s="3" t="n">
        <v>2904900</v>
      </c>
    </row>
    <row r="374">
      <c r="A374" t="n">
        <v>52110000</v>
      </c>
      <c r="B374" s="2" t="n">
        <v>45880</v>
      </c>
      <c r="C374" t="inlineStr">
        <is>
          <t>BQE</t>
        </is>
      </c>
      <c r="D374" t="inlineStr">
        <is>
          <t>BQ08003</t>
        </is>
      </c>
      <c r="E374" t="inlineStr">
        <is>
          <t>VER ESP BAMBOO IMMO/GUY PATRICK</t>
        </is>
      </c>
      <c r="F374" t="inlineStr"/>
      <c r="G374" s="3" t="n">
        <v>43400</v>
      </c>
      <c r="H374" s="3" t="n">
        <v>0</v>
      </c>
      <c r="I374" s="3" t="n">
        <v>2948300</v>
      </c>
    </row>
    <row r="375">
      <c r="A375" t="n">
        <v>52110000</v>
      </c>
      <c r="B375" s="2" t="n">
        <v>45880</v>
      </c>
      <c r="C375" t="inlineStr">
        <is>
          <t>BQE</t>
        </is>
      </c>
      <c r="D375" t="inlineStr">
        <is>
          <t>BQ08004</t>
        </is>
      </c>
      <c r="E375" t="inlineStr">
        <is>
          <t>VER ESP BAMBOO IMMO/GUY PATRICK</t>
        </is>
      </c>
      <c r="F375" t="inlineStr"/>
      <c r="G375" s="3" t="n">
        <v>23800</v>
      </c>
      <c r="H375" s="3" t="n">
        <v>0</v>
      </c>
      <c r="I375" s="3" t="n">
        <v>2972100</v>
      </c>
    </row>
    <row r="376">
      <c r="A376" t="n">
        <v>52110000</v>
      </c>
      <c r="B376" s="2" t="n">
        <v>45880</v>
      </c>
      <c r="C376" t="inlineStr">
        <is>
          <t>BQE</t>
        </is>
      </c>
      <c r="D376" t="inlineStr">
        <is>
          <t>BQ08005</t>
        </is>
      </c>
      <c r="E376" t="inlineStr">
        <is>
          <t>VER ESP BAMBOO IMMO/GUY PATRICK</t>
        </is>
      </c>
      <c r="F376" t="inlineStr"/>
      <c r="G376" s="3" t="n">
        <v>67000</v>
      </c>
      <c r="H376" s="3" t="n">
        <v>0</v>
      </c>
      <c r="I376" s="3" t="n">
        <v>3039100</v>
      </c>
    </row>
    <row r="377">
      <c r="A377" t="n">
        <v>52110000</v>
      </c>
      <c r="B377" s="2" t="n">
        <v>45881</v>
      </c>
      <c r="C377" t="inlineStr">
        <is>
          <t>BQE</t>
        </is>
      </c>
      <c r="D377" t="inlineStr">
        <is>
          <t>BQ08006</t>
        </is>
      </c>
      <c r="E377" t="inlineStr">
        <is>
          <t>VER ESP BAMBOO IMMO/GUY PATRICK/HONORAIRE</t>
        </is>
      </c>
      <c r="F377" t="inlineStr"/>
      <c r="G377" s="3" t="n">
        <v>28000</v>
      </c>
      <c r="H377" s="3" t="n">
        <v>0</v>
      </c>
      <c r="I377" s="3" t="n">
        <v>3067100</v>
      </c>
    </row>
    <row r="378">
      <c r="A378" t="n">
        <v>52110000</v>
      </c>
      <c r="B378" s="2" t="n">
        <v>45882</v>
      </c>
      <c r="C378" t="inlineStr">
        <is>
          <t>BQE</t>
        </is>
      </c>
      <c r="D378" t="inlineStr">
        <is>
          <t>BQ08007</t>
        </is>
      </c>
      <c r="E378" t="inlineStr">
        <is>
          <t>VER ESP BAMBOO IMMO/GUY PATRICK</t>
        </is>
      </c>
      <c r="F378" t="inlineStr"/>
      <c r="G378" s="3" t="n">
        <v>16100</v>
      </c>
      <c r="H378" s="3" t="n">
        <v>0</v>
      </c>
      <c r="I378" s="3" t="n">
        <v>3083200</v>
      </c>
    </row>
    <row r="379">
      <c r="A379" t="n">
        <v>52110000</v>
      </c>
      <c r="B379" s="2" t="n">
        <v>45883</v>
      </c>
      <c r="C379" t="inlineStr">
        <is>
          <t>BQE</t>
        </is>
      </c>
      <c r="D379" t="inlineStr">
        <is>
          <t>BQ08008</t>
        </is>
      </c>
      <c r="E379" t="inlineStr">
        <is>
          <t>VER ESP BAMBOO IMMO/GUY PATRICK</t>
        </is>
      </c>
      <c r="F379" t="inlineStr"/>
      <c r="G379" s="3" t="n">
        <v>75000</v>
      </c>
      <c r="H379" s="3" t="n">
        <v>0</v>
      </c>
      <c r="I379" s="3" t="n">
        <v>3158200</v>
      </c>
    </row>
    <row r="380">
      <c r="A380" t="n">
        <v>52110000</v>
      </c>
      <c r="B380" s="2" t="n">
        <v>45887</v>
      </c>
      <c r="C380" t="inlineStr">
        <is>
          <t>BQE</t>
        </is>
      </c>
      <c r="D380" t="inlineStr">
        <is>
          <t>BQ08009</t>
        </is>
      </c>
      <c r="E380" t="inlineStr">
        <is>
          <t>VER ESP PHILIPPE</t>
        </is>
      </c>
      <c r="F380" t="inlineStr"/>
      <c r="G380" s="3" t="n">
        <v>70000</v>
      </c>
      <c r="H380" s="3" t="n">
        <v>0</v>
      </c>
      <c r="I380" s="3" t="n">
        <v>3228200</v>
      </c>
    </row>
    <row r="381">
      <c r="A381" t="n">
        <v>52110000</v>
      </c>
      <c r="B381" s="2" t="n">
        <v>45887</v>
      </c>
      <c r="C381" t="inlineStr">
        <is>
          <t>BQE</t>
        </is>
      </c>
      <c r="D381" t="inlineStr">
        <is>
          <t>BQ08010</t>
        </is>
      </c>
      <c r="E381" t="inlineStr">
        <is>
          <t>VER ESP JENNIFER</t>
        </is>
      </c>
      <c r="F381" t="inlineStr"/>
      <c r="G381" s="3" t="n">
        <v>70000</v>
      </c>
      <c r="H381" s="3" t="n">
        <v>0</v>
      </c>
      <c r="I381" s="3" t="n">
        <v>3298200</v>
      </c>
    </row>
    <row r="382">
      <c r="A382" t="n">
        <v>52110000</v>
      </c>
      <c r="B382" s="2" t="n">
        <v>45891</v>
      </c>
      <c r="C382" t="inlineStr">
        <is>
          <t>BQE</t>
        </is>
      </c>
      <c r="D382" t="inlineStr">
        <is>
          <t>BQ08011</t>
        </is>
      </c>
      <c r="E382" t="inlineStr">
        <is>
          <t>VER ESP GUY PATRICK</t>
        </is>
      </c>
      <c r="F382" t="inlineStr"/>
      <c r="G382" s="3" t="n">
        <v>50050</v>
      </c>
      <c r="H382" s="3" t="n">
        <v>0</v>
      </c>
      <c r="I382" s="3" t="n">
        <v>3348250</v>
      </c>
    </row>
    <row r="383">
      <c r="A383" t="n">
        <v>52110000</v>
      </c>
      <c r="B383" s="2" t="n">
        <v>45891</v>
      </c>
      <c r="C383" t="inlineStr">
        <is>
          <t>BQE</t>
        </is>
      </c>
      <c r="D383" t="inlineStr">
        <is>
          <t>BQ08012</t>
        </is>
      </c>
      <c r="E383" t="inlineStr">
        <is>
          <t>VER ESP BAMBOO IMMO GUY PATRICK</t>
        </is>
      </c>
      <c r="F383" t="inlineStr"/>
      <c r="G383" s="3" t="n">
        <v>36000</v>
      </c>
      <c r="H383" s="3" t="n">
        <v>0</v>
      </c>
      <c r="I383" s="3" t="n">
        <v>3384250</v>
      </c>
    </row>
    <row r="384">
      <c r="A384" t="n">
        <v>52110000</v>
      </c>
      <c r="B384" s="2" t="n">
        <v>45908</v>
      </c>
      <c r="C384" t="inlineStr">
        <is>
          <t>BQE</t>
        </is>
      </c>
      <c r="D384" t="inlineStr">
        <is>
          <t>BQ09003</t>
        </is>
      </c>
      <c r="E384" t="inlineStr">
        <is>
          <t>VERSEMENT ESP CREPIN</t>
        </is>
      </c>
      <c r="F384" t="inlineStr"/>
      <c r="G384" s="3" t="n">
        <v>31500</v>
      </c>
      <c r="H384" s="3" t="n">
        <v>0</v>
      </c>
      <c r="I384" s="3" t="n">
        <v>3552250</v>
      </c>
    </row>
    <row r="385">
      <c r="A385" t="n">
        <v>52110000</v>
      </c>
      <c r="B385" s="2" t="n">
        <v>45908</v>
      </c>
      <c r="C385" t="inlineStr">
        <is>
          <t>BQE</t>
        </is>
      </c>
      <c r="D385" t="inlineStr">
        <is>
          <t>BQ09004</t>
        </is>
      </c>
      <c r="E385" t="inlineStr">
        <is>
          <t>VERSEMENT ESP/GUY PATRICK</t>
        </is>
      </c>
      <c r="F385" t="inlineStr"/>
      <c r="G385" s="3" t="n">
        <v>69300</v>
      </c>
      <c r="H385" s="3" t="n">
        <v>0</v>
      </c>
      <c r="I385" s="3" t="n">
        <v>3621550</v>
      </c>
    </row>
    <row r="386">
      <c r="A386" t="n">
        <v>52110000</v>
      </c>
      <c r="B386" s="2" t="n">
        <v>45910</v>
      </c>
      <c r="C386" t="inlineStr">
        <is>
          <t>BQE</t>
        </is>
      </c>
      <c r="D386" t="inlineStr">
        <is>
          <t>BQ09001</t>
        </is>
      </c>
      <c r="E386" t="inlineStr">
        <is>
          <t>VIR ORDRE PARIE MUTUEL UB</t>
        </is>
      </c>
      <c r="F386" t="inlineStr"/>
      <c r="G386" s="3" t="n">
        <v>1950000</v>
      </c>
      <c r="H386" s="3" t="n">
        <v>0</v>
      </c>
      <c r="I386" s="3" t="n">
        <v>5334250</v>
      </c>
    </row>
    <row r="387">
      <c r="A387" t="n">
        <v>52110000</v>
      </c>
      <c r="B387" s="2" t="n">
        <v>45911</v>
      </c>
      <c r="C387" t="inlineStr">
        <is>
          <t>BQE</t>
        </is>
      </c>
      <c r="D387" t="inlineStr">
        <is>
          <t>BQ09005</t>
        </is>
      </c>
      <c r="E387" t="inlineStr">
        <is>
          <t>VERSEMENT ESP/GUY PATRICK</t>
        </is>
      </c>
      <c r="F387" t="inlineStr"/>
      <c r="G387" s="3" t="n">
        <v>67000</v>
      </c>
      <c r="H387" s="3" t="n">
        <v>0</v>
      </c>
      <c r="I387" s="3" t="n">
        <v>3688550</v>
      </c>
    </row>
    <row r="388">
      <c r="A388" t="n">
        <v>52110000</v>
      </c>
      <c r="B388" s="2" t="n">
        <v>45911</v>
      </c>
      <c r="C388" t="inlineStr">
        <is>
          <t>BQE</t>
        </is>
      </c>
      <c r="D388" t="inlineStr">
        <is>
          <t>BQ09006</t>
        </is>
      </c>
      <c r="E388" t="inlineStr">
        <is>
          <t>VERSEMENT ESP CREPIN OKOUDIE</t>
        </is>
      </c>
      <c r="F388" t="inlineStr"/>
      <c r="G388" s="3" t="n">
        <v>11900</v>
      </c>
      <c r="H388" s="3" t="n">
        <v>0</v>
      </c>
      <c r="I388" s="3" t="n">
        <v>3700450</v>
      </c>
    </row>
    <row r="389">
      <c r="A389" t="n">
        <v>52110000</v>
      </c>
      <c r="B389" s="2" t="n">
        <v>45912</v>
      </c>
      <c r="C389" t="inlineStr">
        <is>
          <t>BQE</t>
        </is>
      </c>
      <c r="D389" t="inlineStr">
        <is>
          <t>BQ09007</t>
        </is>
      </c>
      <c r="E389" t="inlineStr">
        <is>
          <t>VERSEMENT ESP NZIENGUI PHILLIPPE</t>
        </is>
      </c>
      <c r="F389" t="inlineStr"/>
      <c r="G389" s="3" t="n">
        <v>70000</v>
      </c>
      <c r="H389" s="3" t="n">
        <v>0</v>
      </c>
      <c r="I389" s="3" t="n">
        <v>3770450</v>
      </c>
    </row>
    <row r="390">
      <c r="A390" t="n">
        <v>52110000</v>
      </c>
      <c r="B390" s="2" t="n">
        <v>45912</v>
      </c>
      <c r="C390" t="inlineStr">
        <is>
          <t>BQE</t>
        </is>
      </c>
      <c r="D390" t="inlineStr">
        <is>
          <t>BQ09008</t>
        </is>
      </c>
      <c r="E390" t="inlineStr">
        <is>
          <t>VERSEMENT ESP GUY PATRICK</t>
        </is>
      </c>
      <c r="F390" t="inlineStr"/>
      <c r="G390" s="3" t="n">
        <v>16100</v>
      </c>
      <c r="H390" s="3" t="n">
        <v>0</v>
      </c>
      <c r="I390" s="3" t="n">
        <v>3786550</v>
      </c>
    </row>
    <row r="391">
      <c r="A391" t="n">
        <v>52110000</v>
      </c>
      <c r="B391" s="2" t="n">
        <v>45912</v>
      </c>
      <c r="C391" t="inlineStr">
        <is>
          <t>BQE</t>
        </is>
      </c>
      <c r="D391" t="inlineStr">
        <is>
          <t>BQ09009</t>
        </is>
      </c>
      <c r="E391" t="inlineStr">
        <is>
          <t>REL FAC AOUT/ASSISTANCE COMPTABLE</t>
        </is>
      </c>
      <c r="F391" t="inlineStr"/>
      <c r="G391" s="3" t="n">
        <v>0</v>
      </c>
      <c r="H391" s="3" t="n">
        <v>200000</v>
      </c>
      <c r="I391" s="3" t="n">
        <v>3586550</v>
      </c>
    </row>
    <row r="392">
      <c r="A392" t="n">
        <v>52110000</v>
      </c>
      <c r="B392" s="2" t="n">
        <v>45922</v>
      </c>
      <c r="C392" t="inlineStr">
        <is>
          <t>BQE</t>
        </is>
      </c>
      <c r="D392" t="inlineStr">
        <is>
          <t>BQ09010</t>
        </is>
      </c>
      <c r="E392" t="inlineStr">
        <is>
          <t>VRESEMENT ESP GUY PATRICK</t>
        </is>
      </c>
      <c r="F392" t="inlineStr"/>
      <c r="G392" s="3" t="n">
        <v>30100</v>
      </c>
      <c r="H392" s="3" t="n">
        <v>0</v>
      </c>
      <c r="I392" s="3" t="n">
        <v>3616650</v>
      </c>
    </row>
    <row r="393">
      <c r="A393" t="n">
        <v>52110000</v>
      </c>
      <c r="B393" s="2" t="n">
        <v>45929</v>
      </c>
      <c r="C393" t="inlineStr">
        <is>
          <t>BQE</t>
        </is>
      </c>
      <c r="D393" t="inlineStr">
        <is>
          <t>BQ09011</t>
        </is>
      </c>
      <c r="E393" t="inlineStr">
        <is>
          <t>VRESEMENT ESP ULYSSE</t>
        </is>
      </c>
      <c r="F393" t="inlineStr"/>
      <c r="G393" s="3" t="n">
        <v>10500</v>
      </c>
      <c r="H393" s="3" t="n">
        <v>0</v>
      </c>
      <c r="I393" s="3" t="n">
        <v>3627150</v>
      </c>
    </row>
    <row r="394">
      <c r="A394" t="n">
        <v>52110000</v>
      </c>
      <c r="B394" s="2" t="n">
        <v>45930</v>
      </c>
      <c r="C394" t="inlineStr">
        <is>
          <t>BQE</t>
        </is>
      </c>
      <c r="D394" t="inlineStr">
        <is>
          <t>BQ09002</t>
        </is>
      </c>
      <c r="E394" t="inlineStr">
        <is>
          <t>REL LOYER</t>
        </is>
      </c>
      <c r="F394" t="inlineStr"/>
      <c r="G394" s="3" t="n">
        <v>0</v>
      </c>
      <c r="H394" s="3" t="n">
        <v>1813500</v>
      </c>
      <c r="I394" s="3" t="n">
        <v>3520750</v>
      </c>
    </row>
    <row r="395">
      <c r="A395" t="n">
        <v>52110000</v>
      </c>
      <c r="B395" s="2" t="n">
        <v>45930</v>
      </c>
      <c r="C395" t="inlineStr">
        <is>
          <t>BQE</t>
        </is>
      </c>
      <c r="D395" t="inlineStr">
        <is>
          <t>BQ09012</t>
        </is>
      </c>
      <c r="E395" t="inlineStr">
        <is>
          <t>VRESEMENT ESP GUY PATRICK</t>
        </is>
      </c>
      <c r="F395" t="inlineStr"/>
      <c r="G395" s="3" t="n">
        <v>50050</v>
      </c>
      <c r="H395" s="3" t="n">
        <v>0</v>
      </c>
      <c r="I395" s="3" t="n">
        <v>3677200</v>
      </c>
    </row>
    <row r="396">
      <c r="A396" t="n">
        <v>52110000</v>
      </c>
      <c r="B396" s="2" t="n">
        <v>45931</v>
      </c>
      <c r="C396" t="inlineStr">
        <is>
          <t>BQE</t>
        </is>
      </c>
      <c r="D396" t="inlineStr">
        <is>
          <t>BQE10001</t>
        </is>
      </c>
      <c r="E396" t="inlineStr">
        <is>
          <t>VERSEMENT ESPECE BIMMO/GUY PATRICK</t>
        </is>
      </c>
      <c r="F396" t="inlineStr"/>
      <c r="G396" s="3" t="n">
        <v>70000</v>
      </c>
      <c r="H396" s="3" t="n">
        <v>0</v>
      </c>
      <c r="I396" s="3" t="n">
        <v>3747200</v>
      </c>
    </row>
    <row r="397">
      <c r="A397" t="n">
        <v>52110000</v>
      </c>
      <c r="B397" s="2" t="n">
        <v>45937</v>
      </c>
      <c r="C397" t="inlineStr">
        <is>
          <t>BQE</t>
        </is>
      </c>
      <c r="D397" t="inlineStr">
        <is>
          <t>BQE10002</t>
        </is>
      </c>
      <c r="E397" t="inlineStr">
        <is>
          <t>VERSEMENT ESPECE BIMMO/GUY PATRICK</t>
        </is>
      </c>
      <c r="F397" t="inlineStr"/>
      <c r="G397" s="3" t="n">
        <v>24500</v>
      </c>
      <c r="H397" s="3" t="n">
        <v>0</v>
      </c>
      <c r="I397" s="3" t="n">
        <v>3771700</v>
      </c>
    </row>
    <row r="398">
      <c r="A398" t="n">
        <v>52110000</v>
      </c>
      <c r="B398" s="2" t="n">
        <v>45937</v>
      </c>
      <c r="C398" t="inlineStr">
        <is>
          <t>BQE</t>
        </is>
      </c>
      <c r="D398" t="inlineStr">
        <is>
          <t>BQE10003</t>
        </is>
      </c>
      <c r="E398" t="inlineStr">
        <is>
          <t>RGL FACTURE 2BNC DE SEPTEMBRE 2025</t>
        </is>
      </c>
      <c r="F398" t="inlineStr"/>
      <c r="G398" s="3" t="n">
        <v>0</v>
      </c>
      <c r="H398" s="3" t="n">
        <v>200000</v>
      </c>
      <c r="I398" s="3" t="n">
        <v>3571700</v>
      </c>
    </row>
    <row r="399">
      <c r="A399" t="n">
        <v>52110000</v>
      </c>
      <c r="B399" s="2" t="n">
        <v>45939</v>
      </c>
      <c r="C399" t="inlineStr">
        <is>
          <t>BQE</t>
        </is>
      </c>
      <c r="D399" t="inlineStr">
        <is>
          <t>BQE10004</t>
        </is>
      </c>
      <c r="E399" t="inlineStr">
        <is>
          <t>VERSEMENT ESPECE BIMMO/GUY PATRICK</t>
        </is>
      </c>
      <c r="F399" t="inlineStr"/>
      <c r="G399" s="3" t="n">
        <v>46200</v>
      </c>
      <c r="H399" s="3" t="n">
        <v>0</v>
      </c>
      <c r="I399" s="3" t="n">
        <v>3617900</v>
      </c>
    </row>
    <row r="400">
      <c r="A400" t="n">
        <v>52110000</v>
      </c>
      <c r="B400" s="2" t="n">
        <v>45939</v>
      </c>
      <c r="C400" t="inlineStr">
        <is>
          <t>BQE</t>
        </is>
      </c>
      <c r="D400" t="inlineStr">
        <is>
          <t>BQE10005</t>
        </is>
      </c>
      <c r="E400" t="inlineStr">
        <is>
          <t>VERSEMENT ESPECE BIMMO/GUY PATRICK</t>
        </is>
      </c>
      <c r="F400" t="inlineStr"/>
      <c r="G400" s="3" t="n">
        <v>43400</v>
      </c>
      <c r="H400" s="3" t="n">
        <v>0</v>
      </c>
      <c r="I400" s="3" t="n">
        <v>3661300</v>
      </c>
    </row>
    <row r="401">
      <c r="A401" t="n">
        <v>52110000</v>
      </c>
      <c r="B401" s="2" t="n">
        <v>45939</v>
      </c>
      <c r="C401" t="inlineStr">
        <is>
          <t>BQE</t>
        </is>
      </c>
      <c r="D401" t="inlineStr">
        <is>
          <t>BQE10006</t>
        </is>
      </c>
      <c r="E401" t="inlineStr">
        <is>
          <t>VERSEMENT ESPECE BIMMO/GUY PATRICK</t>
        </is>
      </c>
      <c r="F401" t="inlineStr"/>
      <c r="G401" s="3" t="n">
        <v>21000</v>
      </c>
      <c r="H401" s="3" t="n">
        <v>0</v>
      </c>
      <c r="I401" s="3" t="n">
        <v>3682300</v>
      </c>
    </row>
    <row r="402">
      <c r="A402" t="n">
        <v>52110000</v>
      </c>
      <c r="B402" s="2" t="n">
        <v>45940</v>
      </c>
      <c r="C402" t="inlineStr">
        <is>
          <t>BQE</t>
        </is>
      </c>
      <c r="D402" t="inlineStr">
        <is>
          <t>BQE10007</t>
        </is>
      </c>
      <c r="E402" t="inlineStr">
        <is>
          <t>VERSEMENT ESPECE BIMMO/GUY PATRICK</t>
        </is>
      </c>
      <c r="F402" t="inlineStr"/>
      <c r="G402" s="3" t="n">
        <v>70000</v>
      </c>
      <c r="H402" s="3" t="n">
        <v>0</v>
      </c>
      <c r="I402" s="3" t="n">
        <v>3752300</v>
      </c>
    </row>
    <row r="403">
      <c r="A403" t="n">
        <v>52110000</v>
      </c>
      <c r="B403" s="2" t="n">
        <v>45940</v>
      </c>
      <c r="C403" t="inlineStr">
        <is>
          <t>BQE</t>
        </is>
      </c>
      <c r="D403" t="inlineStr">
        <is>
          <t>BQE10008</t>
        </is>
      </c>
      <c r="E403" t="inlineStr">
        <is>
          <t>RGL FACTURE B.COM DE OCTOBRE 2025</t>
        </is>
      </c>
      <c r="F403" t="inlineStr"/>
      <c r="G403" s="3" t="n">
        <v>0</v>
      </c>
      <c r="H403" s="3" t="n">
        <v>85904</v>
      </c>
      <c r="I403" s="3" t="n">
        <v>3666396</v>
      </c>
    </row>
    <row r="404">
      <c r="A404" t="n">
        <v>52110000</v>
      </c>
      <c r="B404" s="2" t="n">
        <v>45943</v>
      </c>
      <c r="C404" t="inlineStr">
        <is>
          <t>BQE</t>
        </is>
      </c>
      <c r="D404" t="inlineStr">
        <is>
          <t>BQE10009</t>
        </is>
      </c>
      <c r="E404" t="inlineStr">
        <is>
          <t>VERSEMENT ESPECE BIMMO/GUY PATRICK</t>
        </is>
      </c>
      <c r="F404" t="inlineStr"/>
      <c r="G404" s="3" t="n">
        <v>67000</v>
      </c>
      <c r="H404" s="3" t="n">
        <v>0</v>
      </c>
      <c r="I404" s="3" t="n">
        <v>3733396</v>
      </c>
    </row>
    <row r="405">
      <c r="A405" t="n">
        <v>52110000</v>
      </c>
      <c r="B405" s="2" t="n">
        <v>45943</v>
      </c>
      <c r="C405" t="inlineStr">
        <is>
          <t>BQE</t>
        </is>
      </c>
      <c r="D405" t="inlineStr">
        <is>
          <t>BQE10010</t>
        </is>
      </c>
      <c r="E405" t="inlineStr">
        <is>
          <t>VERSEMENT ESPECE BIMMO/GUY PATRICK</t>
        </is>
      </c>
      <c r="F405" t="inlineStr"/>
      <c r="G405" s="3" t="n">
        <v>17500</v>
      </c>
      <c r="H405" s="3" t="n">
        <v>0</v>
      </c>
      <c r="I405" s="3" t="n">
        <v>3750896</v>
      </c>
    </row>
    <row r="406">
      <c r="A406" t="n">
        <v>52110000</v>
      </c>
      <c r="B406" s="2" t="n">
        <v>45944</v>
      </c>
      <c r="C406" t="inlineStr">
        <is>
          <t>BQE</t>
        </is>
      </c>
      <c r="D406" t="inlineStr">
        <is>
          <t>BQE10011</t>
        </is>
      </c>
      <c r="E406" t="inlineStr">
        <is>
          <t>RGL FACTURE VENTIS / AQUISITION DE LICENCES 365</t>
        </is>
      </c>
      <c r="F406" t="inlineStr"/>
      <c r="G406" s="3" t="n">
        <v>0</v>
      </c>
      <c r="H406" s="3" t="n">
        <v>99960</v>
      </c>
      <c r="I406" s="3" t="n">
        <v>3650936</v>
      </c>
    </row>
    <row r="407">
      <c r="A407" t="n">
        <v>52110000</v>
      </c>
      <c r="B407" s="2" t="n">
        <v>45945</v>
      </c>
      <c r="C407" t="inlineStr">
        <is>
          <t>BQE</t>
        </is>
      </c>
      <c r="D407" t="inlineStr">
        <is>
          <t>BQE10012</t>
        </is>
      </c>
      <c r="E407" t="inlineStr">
        <is>
          <t>VERSEMENT ESPECE BIMMO/GUY PATRICK</t>
        </is>
      </c>
      <c r="F407" t="inlineStr"/>
      <c r="G407" s="3" t="n">
        <v>75000</v>
      </c>
      <c r="H407" s="3" t="n">
        <v>0</v>
      </c>
      <c r="I407" s="3" t="n">
        <v>3725936</v>
      </c>
    </row>
    <row r="408">
      <c r="A408" t="n">
        <v>52110000</v>
      </c>
      <c r="B408" s="2" t="n">
        <v>45945</v>
      </c>
      <c r="C408" t="inlineStr">
        <is>
          <t>BQE</t>
        </is>
      </c>
      <c r="D408" t="inlineStr">
        <is>
          <t>BQE10013</t>
        </is>
      </c>
      <c r="E408" t="inlineStr">
        <is>
          <t>VERSEMENT ESPECE BIMMO/GUY PATRICK</t>
        </is>
      </c>
      <c r="F408" t="inlineStr"/>
      <c r="G408" s="3" t="n">
        <v>16100</v>
      </c>
      <c r="H408" s="3" t="n">
        <v>0</v>
      </c>
      <c r="I408" s="3" t="n">
        <v>3742036</v>
      </c>
    </row>
    <row r="409">
      <c r="A409" t="n">
        <v>52110000</v>
      </c>
      <c r="B409" s="2" t="n">
        <v>45946</v>
      </c>
      <c r="C409" t="inlineStr">
        <is>
          <t>BQE</t>
        </is>
      </c>
      <c r="D409" t="inlineStr">
        <is>
          <t>BQE10014</t>
        </is>
      </c>
      <c r="E409" t="inlineStr">
        <is>
          <t>VERSEMENT ESPECE BIMMO/GUY PATRICK</t>
        </is>
      </c>
      <c r="F409" t="inlineStr"/>
      <c r="G409" s="3" t="n">
        <v>56000</v>
      </c>
      <c r="H409" s="3" t="n">
        <v>0</v>
      </c>
      <c r="I409" s="3" t="n">
        <v>3798036</v>
      </c>
    </row>
    <row r="410">
      <c r="A410" t="n">
        <v>52110000</v>
      </c>
      <c r="B410" s="2" t="n">
        <v>45952</v>
      </c>
      <c r="C410" t="inlineStr">
        <is>
          <t>BQE</t>
        </is>
      </c>
      <c r="D410" t="inlineStr">
        <is>
          <t>BQE10015</t>
        </is>
      </c>
      <c r="E410" t="inlineStr">
        <is>
          <t>VERSEMENT ESPECE BIMMO/GUY PATRICK</t>
        </is>
      </c>
      <c r="F410" t="inlineStr"/>
      <c r="G410" s="3" t="n">
        <v>16100</v>
      </c>
      <c r="H410" s="3" t="n">
        <v>0</v>
      </c>
      <c r="I410" s="3" t="n">
        <v>3814136</v>
      </c>
    </row>
    <row r="411">
      <c r="A411" t="n">
        <v>52110000</v>
      </c>
      <c r="B411" s="2" t="n">
        <v>45960</v>
      </c>
      <c r="C411" t="inlineStr">
        <is>
          <t>BQE</t>
        </is>
      </c>
      <c r="D411" t="inlineStr">
        <is>
          <t>BQE10016</t>
        </is>
      </c>
      <c r="E411" t="inlineStr">
        <is>
          <t>REGL FACTURE 2BNC DE OCTOBRE 2025</t>
        </is>
      </c>
      <c r="F411" t="inlineStr"/>
      <c r="G411" s="3" t="n">
        <v>0</v>
      </c>
      <c r="H411" s="3" t="n">
        <v>200000</v>
      </c>
      <c r="I411" s="3" t="n">
        <v>3614136</v>
      </c>
    </row>
    <row r="412">
      <c r="A412" t="n">
        <v>52110000</v>
      </c>
      <c r="B412" s="2" t="n">
        <v>45965</v>
      </c>
      <c r="C412" t="inlineStr">
        <is>
          <t>BQE</t>
        </is>
      </c>
      <c r="D412" t="inlineStr">
        <is>
          <t>BQE11001</t>
        </is>
      </c>
      <c r="E412" t="inlineStr">
        <is>
          <t>VER ESP OKOUDIE</t>
        </is>
      </c>
      <c r="F412" t="inlineStr"/>
      <c r="G412" s="3" t="n">
        <v>31500</v>
      </c>
      <c r="H412" s="3" t="n">
        <v>0</v>
      </c>
      <c r="I412" s="3" t="n">
        <v>3645636</v>
      </c>
    </row>
    <row r="413">
      <c r="A413" t="n">
        <v>52110000</v>
      </c>
      <c r="B413" s="2" t="n">
        <v>45966</v>
      </c>
      <c r="C413" t="inlineStr">
        <is>
          <t>BQE</t>
        </is>
      </c>
      <c r="D413" t="inlineStr">
        <is>
          <t>BQE11002</t>
        </is>
      </c>
      <c r="E413" t="inlineStr">
        <is>
          <t>VER ESP BIMMO GUY PATRICK</t>
        </is>
      </c>
      <c r="F413" t="inlineStr"/>
      <c r="G413" s="3" t="n">
        <v>50050</v>
      </c>
      <c r="H413" s="3" t="n">
        <v>0</v>
      </c>
      <c r="I413" s="3" t="n">
        <v>3695686</v>
      </c>
    </row>
    <row r="414">
      <c r="A414" t="n">
        <v>52110000</v>
      </c>
      <c r="B414" s="2" t="n">
        <v>45966</v>
      </c>
      <c r="C414" t="inlineStr">
        <is>
          <t>BQE</t>
        </is>
      </c>
      <c r="D414" t="inlineStr">
        <is>
          <t>BQE11003</t>
        </is>
      </c>
      <c r="E414" t="inlineStr">
        <is>
          <t>VER ESP BIMMO GUY PATRICK</t>
        </is>
      </c>
      <c r="F414" t="inlineStr"/>
      <c r="G414" s="3" t="n">
        <v>45500</v>
      </c>
      <c r="H414" s="3" t="n">
        <v>0</v>
      </c>
      <c r="I414" s="3" t="n">
        <v>3741186</v>
      </c>
    </row>
    <row r="415">
      <c r="A415" t="n">
        <v>52110000</v>
      </c>
      <c r="B415" s="2" t="n">
        <v>45971</v>
      </c>
      <c r="C415" t="inlineStr">
        <is>
          <t>BQE</t>
        </is>
      </c>
      <c r="D415" t="inlineStr">
        <is>
          <t>BQE11004</t>
        </is>
      </c>
      <c r="E415" t="inlineStr">
        <is>
          <t>VER ESP PHILIPPE</t>
        </is>
      </c>
      <c r="F415" t="inlineStr"/>
      <c r="G415" s="3" t="n">
        <v>70000</v>
      </c>
      <c r="H415" s="3" t="n">
        <v>0</v>
      </c>
      <c r="I415" s="3" t="n">
        <v>3811186</v>
      </c>
    </row>
    <row r="416">
      <c r="A416" t="n">
        <v>52110000</v>
      </c>
      <c r="B416" s="2" t="n">
        <v>45972</v>
      </c>
      <c r="C416" t="inlineStr">
        <is>
          <t>BQE</t>
        </is>
      </c>
      <c r="D416" t="inlineStr">
        <is>
          <t>BQE11005</t>
        </is>
      </c>
      <c r="E416" t="inlineStr">
        <is>
          <t>VER ESP OKOUDIE</t>
        </is>
      </c>
      <c r="F416" t="inlineStr"/>
      <c r="G416" s="3" t="n">
        <v>11900</v>
      </c>
      <c r="H416" s="3" t="n">
        <v>0</v>
      </c>
      <c r="I416" s="3" t="n">
        <v>3823086</v>
      </c>
    </row>
    <row r="417">
      <c r="A417" t="n">
        <v>52110000</v>
      </c>
      <c r="B417" s="2" t="n">
        <v>45973</v>
      </c>
      <c r="C417" t="inlineStr">
        <is>
          <t>BQE</t>
        </is>
      </c>
      <c r="D417" t="inlineStr">
        <is>
          <t>BQE11006</t>
        </is>
      </c>
      <c r="E417" t="inlineStr">
        <is>
          <t>VER ESP BIMMO GUY PATRICK</t>
        </is>
      </c>
      <c r="F417" t="inlineStr"/>
      <c r="G417" s="3" t="n">
        <v>70000</v>
      </c>
      <c r="H417" s="3" t="n">
        <v>0</v>
      </c>
      <c r="I417" s="3" t="n">
        <v>3893086</v>
      </c>
    </row>
    <row r="418">
      <c r="A418" t="n">
        <v>52110000</v>
      </c>
      <c r="B418" s="2" t="n">
        <v>45974</v>
      </c>
      <c r="C418" t="inlineStr">
        <is>
          <t>BQE</t>
        </is>
      </c>
      <c r="D418" t="inlineStr">
        <is>
          <t>BQE11007</t>
        </is>
      </c>
      <c r="E418" t="inlineStr">
        <is>
          <t>VER ESP BIMMO GUY PATRICK</t>
        </is>
      </c>
      <c r="F418" t="inlineStr"/>
      <c r="G418" s="3" t="n">
        <v>75000</v>
      </c>
      <c r="H418" s="3" t="n">
        <v>0</v>
      </c>
      <c r="I418" s="3" t="n">
        <v>3968086</v>
      </c>
    </row>
    <row r="419">
      <c r="A419" t="n">
        <v>52110000</v>
      </c>
      <c r="B419" s="2" t="n">
        <v>45975</v>
      </c>
      <c r="C419" t="inlineStr">
        <is>
          <t>BQE</t>
        </is>
      </c>
      <c r="D419" t="inlineStr">
        <is>
          <t>BQE11008</t>
        </is>
      </c>
      <c r="E419" t="inlineStr">
        <is>
          <t>VER ESP BIMMO GUY PATRICK</t>
        </is>
      </c>
      <c r="F419" t="inlineStr"/>
      <c r="G419" s="3" t="n">
        <v>16100</v>
      </c>
      <c r="H419" s="3" t="n">
        <v>0</v>
      </c>
      <c r="I419" s="3" t="n">
        <v>3984186</v>
      </c>
    </row>
    <row r="420">
      <c r="A420" t="n">
        <v>52110000</v>
      </c>
      <c r="B420" s="2" t="n">
        <v>45975</v>
      </c>
      <c r="C420" t="inlineStr">
        <is>
          <t>BQE</t>
        </is>
      </c>
      <c r="D420" t="inlineStr">
        <is>
          <t>BQE11009</t>
        </is>
      </c>
      <c r="E420" t="inlineStr">
        <is>
          <t>VER ESP BIMMO GUY PATRICK</t>
        </is>
      </c>
      <c r="F420" t="inlineStr"/>
      <c r="G420" s="3" t="n">
        <v>17500</v>
      </c>
      <c r="H420" s="3" t="n">
        <v>0</v>
      </c>
      <c r="I420" s="3" t="n">
        <v>4001686</v>
      </c>
    </row>
    <row r="421">
      <c r="A421" t="n">
        <v>52110000</v>
      </c>
      <c r="B421" s="2" t="n">
        <v>45978</v>
      </c>
      <c r="C421" t="inlineStr">
        <is>
          <t>BQE</t>
        </is>
      </c>
      <c r="D421" t="inlineStr">
        <is>
          <t>BQE11010</t>
        </is>
      </c>
      <c r="E421" t="inlineStr">
        <is>
          <t>VER ESP BIMMO GUY PATRICK</t>
        </is>
      </c>
      <c r="F421" t="inlineStr"/>
      <c r="G421" s="3" t="n">
        <v>33950</v>
      </c>
      <c r="H421" s="3" t="n">
        <v>0</v>
      </c>
      <c r="I421" s="3" t="n">
        <v>4035636</v>
      </c>
    </row>
    <row r="422">
      <c r="A422" t="n">
        <v>52120000</v>
      </c>
      <c r="B422" s="2" t="n">
        <v>45667</v>
      </c>
      <c r="C422" t="inlineStr">
        <is>
          <t>BQE2</t>
        </is>
      </c>
      <c r="D422" t="inlineStr">
        <is>
          <t>BQE201001</t>
        </is>
      </c>
      <c r="E422" t="inlineStr">
        <is>
          <t>FRAIS BANCAIRE D'OCTOBRE A DECEMBRE 2024</t>
        </is>
      </c>
      <c r="F422" t="inlineStr"/>
      <c r="G422" s="3" t="n">
        <v>0</v>
      </c>
      <c r="H422" s="3" t="n">
        <v>34037</v>
      </c>
      <c r="I422" s="3" t="n">
        <v>-34037</v>
      </c>
    </row>
    <row r="423">
      <c r="A423" t="n">
        <v>52120000</v>
      </c>
      <c r="B423" s="2" t="n">
        <v>45688</v>
      </c>
      <c r="C423" t="inlineStr">
        <is>
          <t>BQE2</t>
        </is>
      </c>
      <c r="D423" t="inlineStr">
        <is>
          <t>BQE201002</t>
        </is>
      </c>
      <c r="E423" t="inlineStr">
        <is>
          <t>FRAIS BANCAIRE DE JANVIER 2025</t>
        </is>
      </c>
      <c r="F423" t="inlineStr"/>
      <c r="G423" s="3" t="n">
        <v>0</v>
      </c>
      <c r="H423" s="3" t="n">
        <v>15499</v>
      </c>
      <c r="I423" s="3" t="n">
        <v>-49536</v>
      </c>
    </row>
    <row r="424">
      <c r="A424" t="n">
        <v>52120000</v>
      </c>
      <c r="B424" s="2" t="n">
        <v>45716</v>
      </c>
      <c r="C424" t="inlineStr">
        <is>
          <t>BQE2</t>
        </is>
      </c>
      <c r="D424" t="inlineStr">
        <is>
          <t>BQE202001</t>
        </is>
      </c>
      <c r="E424" t="inlineStr">
        <is>
          <t>FRAIS BANCAIRE DE FEVRIER 2025</t>
        </is>
      </c>
      <c r="F424" t="inlineStr"/>
      <c r="G424" s="3" t="n">
        <v>0</v>
      </c>
      <c r="H424" s="3" t="n">
        <v>16071</v>
      </c>
      <c r="I424" s="3" t="n">
        <v>-65607</v>
      </c>
    </row>
    <row r="425">
      <c r="A425" t="n">
        <v>52120000</v>
      </c>
      <c r="B425" s="2" t="n">
        <v>45744</v>
      </c>
      <c r="C425" t="inlineStr">
        <is>
          <t>BQE2</t>
        </is>
      </c>
      <c r="D425" t="inlineStr">
        <is>
          <t>BQE203001</t>
        </is>
      </c>
      <c r="E425" t="inlineStr">
        <is>
          <t>FRAIS BANCAIRE DE MARS 2025</t>
        </is>
      </c>
      <c r="F425" t="inlineStr"/>
      <c r="G425" s="3" t="n">
        <v>0</v>
      </c>
      <c r="H425" s="3" t="n">
        <v>17181</v>
      </c>
      <c r="I425" s="3" t="n">
        <v>-82788</v>
      </c>
    </row>
    <row r="426">
      <c r="A426" t="n">
        <v>52120000</v>
      </c>
      <c r="B426" s="2" t="n">
        <v>45777</v>
      </c>
      <c r="C426" t="inlineStr">
        <is>
          <t>BQE2</t>
        </is>
      </c>
      <c r="D426" t="inlineStr">
        <is>
          <t>BQE204001</t>
        </is>
      </c>
      <c r="E426" t="inlineStr">
        <is>
          <t>FRAIS BANCAIRE DE AVRIL 2025</t>
        </is>
      </c>
      <c r="F426" t="inlineStr"/>
      <c r="G426" s="3" t="n">
        <v>0</v>
      </c>
      <c r="H426" s="3" t="n">
        <v>213</v>
      </c>
      <c r="I426" s="3" t="n">
        <v>-83001</v>
      </c>
    </row>
    <row r="427">
      <c r="A427" t="n">
        <v>52120000</v>
      </c>
      <c r="B427" s="2" t="n">
        <v>45807</v>
      </c>
      <c r="C427" t="inlineStr">
        <is>
          <t>BQE2</t>
        </is>
      </c>
      <c r="D427" t="inlineStr">
        <is>
          <t>BQE205001</t>
        </is>
      </c>
      <c r="E427" t="inlineStr">
        <is>
          <t>FRAIS BANCAIRE DE MAI 2025</t>
        </is>
      </c>
      <c r="F427" t="inlineStr"/>
      <c r="G427" s="3" t="n">
        <v>0</v>
      </c>
      <c r="H427" s="3" t="n">
        <v>220</v>
      </c>
      <c r="I427" s="3" t="n">
        <v>-83221</v>
      </c>
    </row>
    <row r="428">
      <c r="A428" t="n">
        <v>52120000</v>
      </c>
      <c r="B428" s="2" t="n">
        <v>45838</v>
      </c>
      <c r="C428" t="inlineStr">
        <is>
          <t>BQE2</t>
        </is>
      </c>
      <c r="D428" t="inlineStr">
        <is>
          <t>BQE206001</t>
        </is>
      </c>
      <c r="E428" t="inlineStr">
        <is>
          <t>FRAIS BANCAIRE DE JUIN 2025</t>
        </is>
      </c>
      <c r="F428" t="inlineStr"/>
      <c r="G428" s="3" t="n">
        <v>0</v>
      </c>
      <c r="H428" s="3" t="n">
        <v>214</v>
      </c>
      <c r="I428" s="3" t="n">
        <v>-83435</v>
      </c>
    </row>
    <row r="429">
      <c r="A429" t="n">
        <v>52120000</v>
      </c>
      <c r="B429" s="2" t="n">
        <v>45869</v>
      </c>
      <c r="C429" t="inlineStr">
        <is>
          <t>BQE2</t>
        </is>
      </c>
      <c r="D429" t="inlineStr">
        <is>
          <t>BQE207001</t>
        </is>
      </c>
      <c r="E429" t="inlineStr">
        <is>
          <t>FRAIS BANCAIRE DE JUILLET 2025</t>
        </is>
      </c>
      <c r="F429" t="inlineStr"/>
      <c r="G429" s="3" t="n">
        <v>0</v>
      </c>
      <c r="H429" s="3" t="n">
        <v>223</v>
      </c>
      <c r="I429" s="3" t="n">
        <v>-83658</v>
      </c>
    </row>
    <row r="430">
      <c r="A430" t="n">
        <v>52120000</v>
      </c>
      <c r="B430" s="2" t="n">
        <v>45898</v>
      </c>
      <c r="C430" t="inlineStr">
        <is>
          <t>BQE2</t>
        </is>
      </c>
      <c r="D430" t="inlineStr">
        <is>
          <t>BQE208001</t>
        </is>
      </c>
      <c r="E430" t="inlineStr">
        <is>
          <t>FRAIS BANCAIRE DE AOUT 2025</t>
        </is>
      </c>
      <c r="F430" t="inlineStr"/>
      <c r="G430" s="3" t="n">
        <v>0</v>
      </c>
      <c r="H430" s="3" t="n">
        <v>223</v>
      </c>
      <c r="I430" s="3" t="n">
        <v>-83881</v>
      </c>
    </row>
    <row r="431">
      <c r="A431" t="n">
        <v>52120000</v>
      </c>
      <c r="B431" s="2" t="n">
        <v>45930</v>
      </c>
      <c r="C431" t="inlineStr">
        <is>
          <t>BQE2</t>
        </is>
      </c>
      <c r="D431" t="inlineStr">
        <is>
          <t>BQE209001</t>
        </is>
      </c>
      <c r="E431" t="inlineStr">
        <is>
          <t>FRAIS BANCAIRE DE SEPTEMBRE 2025</t>
        </is>
      </c>
      <c r="F431" t="inlineStr"/>
      <c r="G431" s="3" t="n">
        <v>0</v>
      </c>
      <c r="H431" s="3" t="n">
        <v>217</v>
      </c>
      <c r="I431" s="3" t="n">
        <v>-84098</v>
      </c>
    </row>
    <row r="432">
      <c r="A432" t="n">
        <v>52120000</v>
      </c>
      <c r="B432" s="2" t="n">
        <v>45961</v>
      </c>
      <c r="C432" t="inlineStr">
        <is>
          <t>BQE2</t>
        </is>
      </c>
      <c r="D432" t="inlineStr">
        <is>
          <t>BQE210001</t>
        </is>
      </c>
      <c r="E432" t="inlineStr">
        <is>
          <t>FRAIS BANCAIRE DE OCTOBRE 2025</t>
        </is>
      </c>
      <c r="F432" t="inlineStr"/>
      <c r="G432" s="3" t="n">
        <v>0</v>
      </c>
      <c r="H432" s="3" t="n">
        <v>224</v>
      </c>
      <c r="I432" s="3" t="n">
        <v>-84322</v>
      </c>
    </row>
    <row r="433">
      <c r="A433" t="n">
        <v>60570000</v>
      </c>
      <c r="B433" s="2" t="n">
        <v>45685</v>
      </c>
      <c r="C433" t="inlineStr">
        <is>
          <t>OD</t>
        </is>
      </c>
      <c r="D433" t="inlineStr">
        <is>
          <t>OD01003</t>
        </is>
      </c>
      <c r="E433" t="inlineStr">
        <is>
          <t>IMPRESSION CARNET 50 FEUILLE+SOUCHES</t>
        </is>
      </c>
      <c r="F433" t="inlineStr"/>
      <c r="G433" s="3" t="n">
        <v>47200</v>
      </c>
      <c r="H433" s="3" t="n">
        <v>0</v>
      </c>
      <c r="I433" s="3" t="n">
        <v>47200</v>
      </c>
    </row>
    <row r="434">
      <c r="A434" t="n">
        <v>60570000</v>
      </c>
      <c r="B434" s="2" t="n">
        <v>45940</v>
      </c>
      <c r="C434" t="inlineStr">
        <is>
          <t>OD</t>
        </is>
      </c>
      <c r="D434" t="inlineStr">
        <is>
          <t>OD10003</t>
        </is>
      </c>
      <c r="E434" t="inlineStr">
        <is>
          <t>IMPRESSION CARNET 50 FEUILLE+SOUCHES</t>
        </is>
      </c>
      <c r="F434" t="inlineStr"/>
      <c r="G434" s="3" t="n">
        <v>47672</v>
      </c>
      <c r="H434" s="3" t="n">
        <v>0</v>
      </c>
      <c r="I434" s="3" t="n">
        <v>94872</v>
      </c>
    </row>
    <row r="435">
      <c r="A435" t="n">
        <v>63180000</v>
      </c>
      <c r="B435" s="2" t="n">
        <v>45667</v>
      </c>
      <c r="C435" t="inlineStr">
        <is>
          <t>BQE2</t>
        </is>
      </c>
      <c r="D435" t="inlineStr">
        <is>
          <t>BQE201001</t>
        </is>
      </c>
      <c r="E435" t="inlineStr">
        <is>
          <t>FRAIS BANCAIRE D'OCTOBRE A DECEMBRE 2024</t>
        </is>
      </c>
      <c r="F435" t="inlineStr"/>
      <c r="G435" s="3" t="n">
        <v>34037</v>
      </c>
      <c r="H435" s="3" t="n">
        <v>0</v>
      </c>
      <c r="I435" s="3" t="n">
        <v>34037</v>
      </c>
    </row>
    <row r="436">
      <c r="A436" t="n">
        <v>63180000</v>
      </c>
      <c r="B436" s="2" t="n">
        <v>45686</v>
      </c>
      <c r="C436" t="inlineStr">
        <is>
          <t>BQE</t>
        </is>
      </c>
      <c r="D436" t="inlineStr">
        <is>
          <t>18</t>
        </is>
      </c>
      <c r="E436" t="inlineStr">
        <is>
          <t>FRAIS PACKAGE JANV 2025 TTC</t>
        </is>
      </c>
      <c r="F436" t="inlineStr"/>
      <c r="G436" s="3" t="n">
        <v>5950</v>
      </c>
      <c r="H436" s="3" t="n">
        <v>0</v>
      </c>
      <c r="I436" s="3" t="n">
        <v>39987</v>
      </c>
    </row>
    <row r="437">
      <c r="A437" t="n">
        <v>63180000</v>
      </c>
      <c r="B437" s="2" t="n">
        <v>45686</v>
      </c>
      <c r="C437" t="inlineStr">
        <is>
          <t>BQE</t>
        </is>
      </c>
      <c r="D437" t="inlineStr">
        <is>
          <t>19</t>
        </is>
      </c>
      <c r="E437" t="inlineStr">
        <is>
          <t>FRAIS E BANKING JAN 2025</t>
        </is>
      </c>
      <c r="F437" t="inlineStr"/>
      <c r="G437" s="3" t="n">
        <v>2500</v>
      </c>
      <c r="H437" s="3" t="n">
        <v>0</v>
      </c>
      <c r="I437" s="3" t="n">
        <v>42487</v>
      </c>
    </row>
    <row r="438">
      <c r="A438" t="n">
        <v>63180000</v>
      </c>
      <c r="B438" s="2" t="n">
        <v>45688</v>
      </c>
      <c r="C438" t="inlineStr">
        <is>
          <t>BQE2</t>
        </is>
      </c>
      <c r="D438" t="inlineStr">
        <is>
          <t>BQE201002</t>
        </is>
      </c>
      <c r="E438" t="inlineStr">
        <is>
          <t>FRAIS BANCAIRE DE JANVIER 2025</t>
        </is>
      </c>
      <c r="F438" t="inlineStr"/>
      <c r="G438" s="3" t="n">
        <v>15499</v>
      </c>
      <c r="H438" s="3" t="n">
        <v>0</v>
      </c>
      <c r="I438" s="3" t="n">
        <v>57986</v>
      </c>
    </row>
    <row r="439">
      <c r="A439" t="n">
        <v>63180000</v>
      </c>
      <c r="B439" s="2" t="n">
        <v>45716</v>
      </c>
      <c r="C439" t="inlineStr">
        <is>
          <t>BQE</t>
        </is>
      </c>
      <c r="D439" t="inlineStr">
        <is>
          <t>BQE02010</t>
        </is>
      </c>
      <c r="E439" t="inlineStr">
        <is>
          <t>FRAIS PACKAGE 02/25</t>
        </is>
      </c>
      <c r="F439" t="inlineStr"/>
      <c r="G439" s="3" t="n">
        <v>5950</v>
      </c>
      <c r="H439" s="3" t="n">
        <v>0</v>
      </c>
      <c r="I439" s="3" t="n">
        <v>63936</v>
      </c>
    </row>
    <row r="440">
      <c r="A440" t="n">
        <v>63180000</v>
      </c>
      <c r="B440" s="2" t="n">
        <v>45716</v>
      </c>
      <c r="C440" t="inlineStr">
        <is>
          <t>BQE</t>
        </is>
      </c>
      <c r="D440" t="inlineStr">
        <is>
          <t>BQE02011</t>
        </is>
      </c>
      <c r="E440" t="inlineStr">
        <is>
          <t>FRAIS EBANKING 02/25</t>
        </is>
      </c>
      <c r="F440" t="inlineStr"/>
      <c r="G440" s="3" t="n">
        <v>2500</v>
      </c>
      <c r="H440" s="3" t="n">
        <v>0</v>
      </c>
      <c r="I440" s="3" t="n">
        <v>66436</v>
      </c>
    </row>
    <row r="441">
      <c r="A441" t="n">
        <v>63180000</v>
      </c>
      <c r="B441" s="2" t="n">
        <v>45716</v>
      </c>
      <c r="C441" t="inlineStr">
        <is>
          <t>BQE2</t>
        </is>
      </c>
      <c r="D441" t="inlineStr">
        <is>
          <t>BQE202001</t>
        </is>
      </c>
      <c r="E441" t="inlineStr">
        <is>
          <t>FRAIS BANCAIRE DE FEVRIER 2025</t>
        </is>
      </c>
      <c r="F441" t="inlineStr"/>
      <c r="G441" s="3" t="n">
        <v>16071</v>
      </c>
      <c r="H441" s="3" t="n">
        <v>0</v>
      </c>
      <c r="I441" s="3" t="n">
        <v>82507</v>
      </c>
    </row>
    <row r="442">
      <c r="A442" t="n">
        <v>63180000</v>
      </c>
      <c r="B442" s="2" t="n">
        <v>45729</v>
      </c>
      <c r="C442" t="inlineStr">
        <is>
          <t>BQE</t>
        </is>
      </c>
      <c r="D442" t="inlineStr">
        <is>
          <t>BQE02023</t>
        </is>
      </c>
      <c r="E442" t="inlineStr">
        <is>
          <t>FRAIS ESCOMPTE</t>
        </is>
      </c>
      <c r="F442" t="inlineStr"/>
      <c r="G442" s="3" t="n">
        <v>9000</v>
      </c>
      <c r="H442" s="3" t="n">
        <v>0</v>
      </c>
      <c r="I442" s="3" t="n">
        <v>91507</v>
      </c>
    </row>
    <row r="443">
      <c r="A443" t="n">
        <v>63180000</v>
      </c>
      <c r="B443" s="2" t="n">
        <v>45742</v>
      </c>
      <c r="C443" t="inlineStr">
        <is>
          <t>BQE</t>
        </is>
      </c>
      <c r="D443" t="inlineStr">
        <is>
          <t>BQE02028</t>
        </is>
      </c>
      <c r="E443" t="inlineStr">
        <is>
          <t>FRAIS PACKAGE</t>
        </is>
      </c>
      <c r="F443" t="inlineStr"/>
      <c r="G443" s="3" t="n">
        <v>5950</v>
      </c>
      <c r="H443" s="3" t="n">
        <v>0</v>
      </c>
      <c r="I443" s="3" t="n">
        <v>97457</v>
      </c>
    </row>
    <row r="444">
      <c r="A444" t="n">
        <v>63180000</v>
      </c>
      <c r="B444" s="2" t="n">
        <v>45744</v>
      </c>
      <c r="C444" t="inlineStr">
        <is>
          <t>BQE</t>
        </is>
      </c>
      <c r="D444" t="inlineStr">
        <is>
          <t>BQE02029</t>
        </is>
      </c>
      <c r="E444" t="inlineStr">
        <is>
          <t>FRAIS EBANKING</t>
        </is>
      </c>
      <c r="F444" t="inlineStr"/>
      <c r="G444" s="3" t="n">
        <v>2500</v>
      </c>
      <c r="H444" s="3" t="n">
        <v>0</v>
      </c>
      <c r="I444" s="3" t="n">
        <v>99957</v>
      </c>
    </row>
    <row r="445">
      <c r="A445" t="n">
        <v>63180000</v>
      </c>
      <c r="B445" s="2" t="n">
        <v>45744</v>
      </c>
      <c r="C445" t="inlineStr">
        <is>
          <t>BQE2</t>
        </is>
      </c>
      <c r="D445" t="inlineStr">
        <is>
          <t>BQE203001</t>
        </is>
      </c>
      <c r="E445" t="inlineStr">
        <is>
          <t>FRAIS BANCAIRE DE MARS 2025</t>
        </is>
      </c>
      <c r="F445" t="inlineStr"/>
      <c r="G445" s="3" t="n">
        <v>17181</v>
      </c>
      <c r="H445" s="3" t="n">
        <v>0</v>
      </c>
      <c r="I445" s="3" t="n">
        <v>117138</v>
      </c>
    </row>
    <row r="446">
      <c r="A446" t="n">
        <v>63180000</v>
      </c>
      <c r="B446" s="2" t="n">
        <v>45777</v>
      </c>
      <c r="C446" t="inlineStr">
        <is>
          <t>BQE2</t>
        </is>
      </c>
      <c r="D446" t="inlineStr">
        <is>
          <t>BQE204001</t>
        </is>
      </c>
      <c r="E446" t="inlineStr">
        <is>
          <t>FRAIS BANCAIRE DE AVRIL 2025</t>
        </is>
      </c>
      <c r="F446" t="inlineStr"/>
      <c r="G446" s="3" t="n">
        <v>213</v>
      </c>
      <c r="H446" s="3" t="n">
        <v>0</v>
      </c>
      <c r="I446" s="3" t="n">
        <v>117351</v>
      </c>
    </row>
    <row r="447">
      <c r="A447" t="n">
        <v>63180000</v>
      </c>
      <c r="B447" s="2" t="n">
        <v>45807</v>
      </c>
      <c r="C447" t="inlineStr">
        <is>
          <t>BQE2</t>
        </is>
      </c>
      <c r="D447" t="inlineStr">
        <is>
          <t>BQE205001</t>
        </is>
      </c>
      <c r="E447" t="inlineStr">
        <is>
          <t>FRAIS BANCAIRE DE MAI 2025</t>
        </is>
      </c>
      <c r="F447" t="inlineStr"/>
      <c r="G447" s="3" t="n">
        <v>220</v>
      </c>
      <c r="H447" s="3" t="n">
        <v>0</v>
      </c>
      <c r="I447" s="3" t="n">
        <v>117571</v>
      </c>
    </row>
    <row r="448">
      <c r="A448" t="n">
        <v>63180000</v>
      </c>
      <c r="B448" s="2" t="n">
        <v>45838</v>
      </c>
      <c r="C448" t="inlineStr">
        <is>
          <t>BQE2</t>
        </is>
      </c>
      <c r="D448" t="inlineStr">
        <is>
          <t>BQE206001</t>
        </is>
      </c>
      <c r="E448" t="inlineStr">
        <is>
          <t>FRAIS BANCAIRE DE JUIN 2025</t>
        </is>
      </c>
      <c r="F448" t="inlineStr"/>
      <c r="G448" s="3" t="n">
        <v>214</v>
      </c>
      <c r="H448" s="3" t="n">
        <v>0</v>
      </c>
      <c r="I448" s="3" t="n">
        <v>117785</v>
      </c>
    </row>
    <row r="449">
      <c r="A449" t="n">
        <v>63180000</v>
      </c>
      <c r="B449" s="2" t="n">
        <v>45869</v>
      </c>
      <c r="C449" t="inlineStr">
        <is>
          <t>BQE2</t>
        </is>
      </c>
      <c r="D449" t="inlineStr">
        <is>
          <t>BQE207001</t>
        </is>
      </c>
      <c r="E449" t="inlineStr">
        <is>
          <t>FRAIS BANCAIRE DE JUILLET 2025</t>
        </is>
      </c>
      <c r="F449" t="inlineStr"/>
      <c r="G449" s="3" t="n">
        <v>223</v>
      </c>
      <c r="H449" s="3" t="n">
        <v>0</v>
      </c>
      <c r="I449" s="3" t="n">
        <v>118008</v>
      </c>
    </row>
    <row r="450">
      <c r="A450" t="n">
        <v>63180000</v>
      </c>
      <c r="B450" s="2" t="n">
        <v>45898</v>
      </c>
      <c r="C450" t="inlineStr">
        <is>
          <t>BQE2</t>
        </is>
      </c>
      <c r="D450" t="inlineStr">
        <is>
          <t>BQE208001</t>
        </is>
      </c>
      <c r="E450" t="inlineStr">
        <is>
          <t>FRAIS BANCAIRE DE AOUT 2025</t>
        </is>
      </c>
      <c r="F450" t="inlineStr"/>
      <c r="G450" s="3" t="n">
        <v>223</v>
      </c>
      <c r="H450" s="3" t="n">
        <v>0</v>
      </c>
      <c r="I450" s="3" t="n">
        <v>118231</v>
      </c>
    </row>
    <row r="451">
      <c r="A451" t="n">
        <v>63180000</v>
      </c>
      <c r="B451" s="2" t="n">
        <v>45930</v>
      </c>
      <c r="C451" t="inlineStr">
        <is>
          <t>BQE2</t>
        </is>
      </c>
      <c r="D451" t="inlineStr">
        <is>
          <t>BQE209001</t>
        </is>
      </c>
      <c r="E451" t="inlineStr">
        <is>
          <t>FRAIS BANCAIRE DE SEPTEMBRE 2025</t>
        </is>
      </c>
      <c r="F451" t="inlineStr"/>
      <c r="G451" s="3" t="n">
        <v>217</v>
      </c>
      <c r="H451" s="3" t="n">
        <v>0</v>
      </c>
      <c r="I451" s="3" t="n">
        <v>118448</v>
      </c>
    </row>
    <row r="452">
      <c r="A452" t="n">
        <v>63180000</v>
      </c>
      <c r="B452" s="2" t="n">
        <v>45961</v>
      </c>
      <c r="C452" t="inlineStr">
        <is>
          <t>BQE2</t>
        </is>
      </c>
      <c r="D452" t="inlineStr">
        <is>
          <t>BQE210001</t>
        </is>
      </c>
      <c r="E452" t="inlineStr">
        <is>
          <t>FRAIS BANCAIRE DE OCTOBRE 2025</t>
        </is>
      </c>
      <c r="F452" t="inlineStr"/>
      <c r="G452" s="3" t="n">
        <v>224</v>
      </c>
      <c r="H452" s="3" t="n">
        <v>0</v>
      </c>
      <c r="I452" s="3" t="n">
        <v>118672</v>
      </c>
    </row>
    <row r="453">
      <c r="A453" t="n">
        <v>63240000</v>
      </c>
      <c r="B453" s="2" t="n">
        <v>45685</v>
      </c>
      <c r="C453" t="inlineStr">
        <is>
          <t>OD</t>
        </is>
      </c>
      <c r="D453" t="inlineStr">
        <is>
          <t>OD01001</t>
        </is>
      </c>
      <c r="E453" t="inlineStr">
        <is>
          <t>FACTURE 2BNC NøFA2BNC052 DE JANVIER 2025</t>
        </is>
      </c>
      <c r="F453" t="inlineStr"/>
      <c r="G453" s="3" t="n">
        <v>220994</v>
      </c>
      <c r="H453" s="3" t="n">
        <v>0</v>
      </c>
      <c r="I453" s="3" t="n">
        <v>220994</v>
      </c>
    </row>
    <row r="454">
      <c r="A454" t="n">
        <v>63240000</v>
      </c>
      <c r="B454" s="2" t="n">
        <v>45709</v>
      </c>
      <c r="C454" t="inlineStr">
        <is>
          <t>OD</t>
        </is>
      </c>
      <c r="D454" t="inlineStr">
        <is>
          <t>OD0201</t>
        </is>
      </c>
      <c r="E454" t="inlineStr">
        <is>
          <t>FACTURE 2BNC DE FEVRIER 2025</t>
        </is>
      </c>
      <c r="F454" t="inlineStr"/>
      <c r="G454" s="3" t="n">
        <v>220994</v>
      </c>
      <c r="H454" s="3" t="n">
        <v>0</v>
      </c>
      <c r="I454" s="3" t="n">
        <v>441988</v>
      </c>
    </row>
    <row r="455">
      <c r="A455" t="n">
        <v>63240000</v>
      </c>
      <c r="B455" s="2" t="n">
        <v>45737</v>
      </c>
      <c r="C455" t="inlineStr">
        <is>
          <t>OD</t>
        </is>
      </c>
      <c r="D455" t="inlineStr">
        <is>
          <t>OD08001</t>
        </is>
      </c>
      <c r="E455" t="inlineStr">
        <is>
          <t>SUIVI COMPTABLE DE MARS 2025</t>
        </is>
      </c>
      <c r="F455" t="inlineStr"/>
      <c r="G455" s="3" t="n">
        <v>220994</v>
      </c>
      <c r="H455" s="3" t="n">
        <v>0</v>
      </c>
      <c r="I455" s="3" t="n">
        <v>662982</v>
      </c>
    </row>
    <row r="456">
      <c r="A456" t="n">
        <v>63240000</v>
      </c>
      <c r="B456" s="2" t="n">
        <v>45772</v>
      </c>
      <c r="C456" t="inlineStr">
        <is>
          <t>OD</t>
        </is>
      </c>
      <c r="D456" t="inlineStr">
        <is>
          <t>OD04001</t>
        </is>
      </c>
      <c r="E456" t="inlineStr">
        <is>
          <t>FACTURE 2BNC DE AVRIL 2025</t>
        </is>
      </c>
      <c r="F456" t="inlineStr"/>
      <c r="G456" s="3" t="n">
        <v>220994</v>
      </c>
      <c r="H456" s="3" t="n">
        <v>0</v>
      </c>
      <c r="I456" s="3" t="n">
        <v>883976</v>
      </c>
    </row>
    <row r="457">
      <c r="A457" t="n">
        <v>63240000</v>
      </c>
      <c r="B457" s="2" t="n">
        <v>45797</v>
      </c>
      <c r="C457" t="inlineStr">
        <is>
          <t>OD</t>
        </is>
      </c>
      <c r="D457" t="inlineStr">
        <is>
          <t>OD05001</t>
        </is>
      </c>
      <c r="E457" t="inlineStr">
        <is>
          <t>FACTURE 2BNC DE MAI 2025</t>
        </is>
      </c>
      <c r="F457" t="inlineStr"/>
      <c r="G457" s="3" t="n">
        <v>220994</v>
      </c>
      <c r="H457" s="3" t="n">
        <v>0</v>
      </c>
      <c r="I457" s="3" t="n">
        <v>1104970</v>
      </c>
    </row>
    <row r="458">
      <c r="A458" t="n">
        <v>63240000</v>
      </c>
      <c r="B458" s="2" t="n">
        <v>45835</v>
      </c>
      <c r="C458" t="inlineStr">
        <is>
          <t>OD</t>
        </is>
      </c>
      <c r="D458" t="inlineStr">
        <is>
          <t>OD06001</t>
        </is>
      </c>
      <c r="E458" t="inlineStr">
        <is>
          <t>SUIVI ET REVISION COMPTABLE JUIN 2025</t>
        </is>
      </c>
      <c r="F458" t="inlineStr"/>
      <c r="G458" s="3" t="n">
        <v>220994</v>
      </c>
      <c r="H458" s="3" t="n">
        <v>0</v>
      </c>
      <c r="I458" s="3" t="n">
        <v>1325964</v>
      </c>
    </row>
    <row r="459">
      <c r="A459" t="n">
        <v>63240000</v>
      </c>
      <c r="B459" s="2" t="n">
        <v>45869</v>
      </c>
      <c r="C459" t="inlineStr">
        <is>
          <t>OD</t>
        </is>
      </c>
      <c r="D459" t="inlineStr">
        <is>
          <t>COM07001</t>
        </is>
      </c>
      <c r="E459" t="inlineStr">
        <is>
          <t>ASSISTACE COMPTABLE FOC NøFA2BN126/JUIL 2025</t>
        </is>
      </c>
      <c r="F459" t="inlineStr"/>
      <c r="G459" s="3" t="n">
        <v>220994</v>
      </c>
      <c r="H459" s="3" t="n">
        <v>0</v>
      </c>
      <c r="I459" s="3" t="n">
        <v>1546958</v>
      </c>
    </row>
    <row r="460">
      <c r="A460" t="n">
        <v>63240000</v>
      </c>
      <c r="B460" s="2" t="n">
        <v>45896</v>
      </c>
      <c r="C460" t="inlineStr">
        <is>
          <t>OD</t>
        </is>
      </c>
      <c r="D460" t="inlineStr">
        <is>
          <t>OD08003</t>
        </is>
      </c>
      <c r="E460" t="inlineStr">
        <is>
          <t>SUIVI COMPTABLE DE AOUT/FAC NøFA2BNC134</t>
        </is>
      </c>
      <c r="F460" t="inlineStr"/>
      <c r="G460" s="3" t="n">
        <v>220994</v>
      </c>
      <c r="H460" s="3" t="n">
        <v>0</v>
      </c>
      <c r="I460" s="3" t="n">
        <v>1767952</v>
      </c>
    </row>
    <row r="461">
      <c r="A461" t="n">
        <v>63240000</v>
      </c>
      <c r="B461" s="2" t="n">
        <v>45924</v>
      </c>
      <c r="C461" t="inlineStr">
        <is>
          <t>OD</t>
        </is>
      </c>
      <c r="D461" t="inlineStr">
        <is>
          <t>OD09001</t>
        </is>
      </c>
      <c r="E461" t="inlineStr">
        <is>
          <t>FAC NøFA2BNC138/ASSISTANCE COMPTABLE SEP 2025</t>
        </is>
      </c>
      <c r="F461" t="inlineStr"/>
      <c r="G461" s="3" t="n">
        <v>220994</v>
      </c>
      <c r="H461" s="3" t="n">
        <v>0</v>
      </c>
      <c r="I461" s="3" t="n">
        <v>1988946</v>
      </c>
    </row>
    <row r="462">
      <c r="A462" t="n">
        <v>63240000</v>
      </c>
      <c r="B462" s="2" t="n">
        <v>45958</v>
      </c>
      <c r="C462" t="inlineStr">
        <is>
          <t>OD</t>
        </is>
      </c>
      <c r="D462" t="inlineStr">
        <is>
          <t>OD10001</t>
        </is>
      </c>
      <c r="E462" t="inlineStr">
        <is>
          <t>SUIVI COMPTABLE OCT 25 / FAC NøFA2BNC152</t>
        </is>
      </c>
      <c r="F462" t="inlineStr"/>
      <c r="G462" s="3" t="n">
        <v>220994</v>
      </c>
      <c r="H462" s="3" t="n">
        <v>0</v>
      </c>
      <c r="I462" s="3" t="n">
        <v>2209940</v>
      </c>
    </row>
    <row r="463">
      <c r="A463" t="n">
        <v>63240000</v>
      </c>
      <c r="B463" s="2" t="n">
        <v>45988</v>
      </c>
      <c r="C463" t="inlineStr">
        <is>
          <t>OD</t>
        </is>
      </c>
      <c r="D463" t="inlineStr">
        <is>
          <t>OD11001</t>
        </is>
      </c>
      <c r="E463" t="inlineStr">
        <is>
          <t>ASSISTANCE COMPTABLE 2BNC NOV 25</t>
        </is>
      </c>
      <c r="F463" t="inlineStr"/>
      <c r="G463" s="3" t="n">
        <v>220994</v>
      </c>
      <c r="H463" s="3" t="n">
        <v>0</v>
      </c>
      <c r="I463" s="3" t="n">
        <v>2430934</v>
      </c>
    </row>
    <row r="464">
      <c r="A464" t="n">
        <v>63840000</v>
      </c>
      <c r="B464" s="2" t="n">
        <v>45889</v>
      </c>
      <c r="C464" t="inlineStr">
        <is>
          <t>OD</t>
        </is>
      </c>
      <c r="D464" t="inlineStr">
        <is>
          <t>OD08002</t>
        </is>
      </c>
      <c r="E464" t="inlineStr">
        <is>
          <t>INTERCO/RECEPTION 1ER MAI 2025</t>
        </is>
      </c>
      <c r="F464" t="inlineStr"/>
      <c r="G464" s="3" t="n">
        <v>35865</v>
      </c>
      <c r="H464" s="3" t="n">
        <v>0</v>
      </c>
      <c r="I464" s="3" t="n">
        <v>35865</v>
      </c>
    </row>
    <row r="465">
      <c r="A465" t="n">
        <v>63840000</v>
      </c>
      <c r="B465" s="2" t="n">
        <v>45889</v>
      </c>
      <c r="C465" t="inlineStr">
        <is>
          <t>OD</t>
        </is>
      </c>
      <c r="D465" t="inlineStr">
        <is>
          <t>OD08002</t>
        </is>
      </c>
      <c r="E465" t="inlineStr">
        <is>
          <t>INTERCO/RECEPTION 1ER MAI 2025 COMPLEMENT</t>
        </is>
      </c>
      <c r="F465" t="inlineStr"/>
      <c r="G465" s="3" t="n">
        <v>5480</v>
      </c>
      <c r="H465" s="3" t="n">
        <v>0</v>
      </c>
      <c r="I465" s="3" t="n">
        <v>41345</v>
      </c>
    </row>
    <row r="466">
      <c r="A466" t="n">
        <v>64120000</v>
      </c>
      <c r="B466" s="2" t="n">
        <v>45889</v>
      </c>
      <c r="C466" t="inlineStr">
        <is>
          <t>OD</t>
        </is>
      </c>
      <c r="D466" t="inlineStr">
        <is>
          <t>OD08002</t>
        </is>
      </c>
      <c r="E466" t="inlineStr">
        <is>
          <t>INTERCO/PATENTE DU 24/02/2025</t>
        </is>
      </c>
      <c r="F466" t="inlineStr"/>
      <c r="G466" s="3" t="n">
        <v>170000</v>
      </c>
      <c r="H466" s="3" t="n">
        <v>0</v>
      </c>
      <c r="I466" s="3" t="n">
        <v>170000</v>
      </c>
    </row>
    <row r="467">
      <c r="A467" t="n">
        <v>65880000</v>
      </c>
      <c r="B467" s="2" t="n">
        <v>45889</v>
      </c>
      <c r="C467" t="inlineStr">
        <is>
          <t>OD</t>
        </is>
      </c>
      <c r="D467" t="inlineStr">
        <is>
          <t>OD08002</t>
        </is>
      </c>
      <c r="E467" t="inlineStr">
        <is>
          <t>INTERCO/IMPRESSION T SHIRT 1ER MAI 2025</t>
        </is>
      </c>
      <c r="F467" t="inlineStr"/>
      <c r="G467" s="3" t="n">
        <v>4600</v>
      </c>
      <c r="H467" s="3" t="n">
        <v>0</v>
      </c>
      <c r="I467" s="3" t="n">
        <v>4600</v>
      </c>
    </row>
    <row r="468">
      <c r="A468" t="n">
        <v>68130000</v>
      </c>
      <c r="B468" s="2" t="n">
        <v>45900</v>
      </c>
      <c r="C468" t="inlineStr">
        <is>
          <t>OD</t>
        </is>
      </c>
      <c r="D468" t="inlineStr">
        <is>
          <t>OD08004</t>
        </is>
      </c>
      <c r="E468" t="inlineStr">
        <is>
          <t>AMORTISSEMENT DU MATERIEL DE TRANSPORT/DE MARS A AOUT 2025/ 6 MOIS</t>
        </is>
      </c>
      <c r="F468" t="inlineStr"/>
      <c r="G468" s="3" t="n">
        <v>1445091</v>
      </c>
      <c r="H468" s="3" t="n">
        <v>0</v>
      </c>
      <c r="I468" s="3" t="n">
        <v>1445091</v>
      </c>
    </row>
    <row r="469">
      <c r="A469" t="n">
        <v>68130000</v>
      </c>
      <c r="B469" s="2" t="n">
        <v>45930</v>
      </c>
      <c r="C469" t="inlineStr">
        <is>
          <t>OD</t>
        </is>
      </c>
      <c r="D469" t="inlineStr">
        <is>
          <t>OD09002</t>
        </is>
      </c>
      <c r="E469" t="inlineStr">
        <is>
          <t>AMORTISSEMENT SEP 2025</t>
        </is>
      </c>
      <c r="F469" t="inlineStr"/>
      <c r="G469" s="3" t="n">
        <v>240849</v>
      </c>
      <c r="H469" s="3" t="n">
        <v>0</v>
      </c>
      <c r="I469" s="3" t="n">
        <v>1685940</v>
      </c>
    </row>
    <row r="470">
      <c r="A470" t="n">
        <v>68130000</v>
      </c>
      <c r="B470" s="2" t="n">
        <v>45958</v>
      </c>
      <c r="C470" t="inlineStr">
        <is>
          <t>OD</t>
        </is>
      </c>
      <c r="D470" t="inlineStr">
        <is>
          <t>OD10002</t>
        </is>
      </c>
      <c r="E470" t="inlineStr">
        <is>
          <t>AMORTISSEMENT OCT 25</t>
        </is>
      </c>
      <c r="F470" t="inlineStr"/>
      <c r="G470" s="3" t="n">
        <v>240849</v>
      </c>
      <c r="H470" s="3" t="n">
        <v>0</v>
      </c>
      <c r="I470" s="3" t="n">
        <v>1926789</v>
      </c>
    </row>
    <row r="471">
      <c r="A471" t="n">
        <v>68130000</v>
      </c>
      <c r="B471" s="2" t="n">
        <v>45988</v>
      </c>
      <c r="C471" t="inlineStr">
        <is>
          <t>OD</t>
        </is>
      </c>
      <c r="D471" t="inlineStr">
        <is>
          <t>OD11001</t>
        </is>
      </c>
      <c r="E471" t="inlineStr">
        <is>
          <t>AMORTISSEMENT NOV 25/MAT TRANS</t>
        </is>
      </c>
      <c r="F471" t="inlineStr"/>
      <c r="G471" s="3" t="n">
        <v>240849</v>
      </c>
      <c r="H471" s="3" t="n">
        <v>0</v>
      </c>
      <c r="I471" s="3" t="n">
        <v>2167638</v>
      </c>
    </row>
    <row r="472">
      <c r="A472" t="n">
        <v>70610000</v>
      </c>
      <c r="B472" s="2" t="n">
        <v>45991</v>
      </c>
      <c r="C472" t="inlineStr">
        <is>
          <t>COM</t>
        </is>
      </c>
      <c r="D472" t="inlineStr">
        <is>
          <t>COM11001</t>
        </is>
      </c>
      <c r="E472" t="inlineStr">
        <is>
          <t>FACTURATION NOV 25</t>
        </is>
      </c>
      <c r="F472" t="inlineStr"/>
      <c r="G472" s="3" t="n">
        <v>0</v>
      </c>
      <c r="H472" s="3" t="n">
        <v>421500</v>
      </c>
      <c r="I472" s="3" t="n">
        <v>-421500</v>
      </c>
    </row>
    <row r="473">
      <c r="A473" t="n">
        <v>70720000</v>
      </c>
      <c r="B473" s="2" t="n">
        <v>45664</v>
      </c>
      <c r="C473" t="inlineStr">
        <is>
          <t>COM</t>
        </is>
      </c>
      <c r="D473" t="inlineStr">
        <is>
          <t>2</t>
        </is>
      </c>
      <c r="E473" t="inlineStr">
        <is>
          <t>COM/LOYER</t>
        </is>
      </c>
      <c r="F473" t="inlineStr"/>
      <c r="G473" s="3" t="n">
        <v>0</v>
      </c>
      <c r="H473" s="3" t="n">
        <v>123200</v>
      </c>
      <c r="I473" s="3" t="n">
        <v>-123200</v>
      </c>
    </row>
    <row r="474">
      <c r="A474" t="n">
        <v>70720000</v>
      </c>
      <c r="B474" s="2" t="n">
        <v>45666</v>
      </c>
      <c r="C474" t="inlineStr">
        <is>
          <t>COM</t>
        </is>
      </c>
      <c r="D474" t="inlineStr">
        <is>
          <t>4</t>
        </is>
      </c>
      <c r="E474" t="inlineStr">
        <is>
          <t>COM LOYER/DARRIL</t>
        </is>
      </c>
      <c r="F474" t="inlineStr"/>
      <c r="G474" s="3" t="n">
        <v>0</v>
      </c>
      <c r="H474" s="3" t="n">
        <v>28000</v>
      </c>
      <c r="I474" s="3" t="n">
        <v>-151200</v>
      </c>
    </row>
    <row r="475">
      <c r="A475" t="n">
        <v>70720000</v>
      </c>
      <c r="B475" s="2" t="n">
        <v>45667</v>
      </c>
      <c r="C475" t="inlineStr">
        <is>
          <t>COM</t>
        </is>
      </c>
      <c r="D475" t="inlineStr">
        <is>
          <t>6</t>
        </is>
      </c>
      <c r="E475" t="inlineStr">
        <is>
          <t>COM/</t>
        </is>
      </c>
      <c r="F475" t="inlineStr"/>
      <c r="G475" s="3" t="n">
        <v>0</v>
      </c>
      <c r="H475" s="3" t="n">
        <v>18000</v>
      </c>
      <c r="I475" s="3" t="n">
        <v>-169200</v>
      </c>
    </row>
    <row r="476">
      <c r="A476" t="n">
        <v>70720000</v>
      </c>
      <c r="B476" s="2" t="n">
        <v>45667</v>
      </c>
      <c r="C476" t="inlineStr">
        <is>
          <t>COM</t>
        </is>
      </c>
      <c r="D476" t="inlineStr">
        <is>
          <t>8</t>
        </is>
      </c>
      <c r="E476" t="inlineStr">
        <is>
          <t>COM/LOYER NZAOU</t>
        </is>
      </c>
      <c r="F476" t="inlineStr"/>
      <c r="G476" s="3" t="n">
        <v>0</v>
      </c>
      <c r="H476" s="3" t="n">
        <v>49000</v>
      </c>
      <c r="I476" s="3" t="n">
        <v>-218200</v>
      </c>
    </row>
    <row r="477">
      <c r="A477" t="n">
        <v>70720000</v>
      </c>
      <c r="B477" s="2" t="n">
        <v>45667</v>
      </c>
      <c r="C477" t="inlineStr">
        <is>
          <t>COM</t>
        </is>
      </c>
      <c r="D477" t="inlineStr">
        <is>
          <t>11</t>
        </is>
      </c>
      <c r="E477" t="inlineStr">
        <is>
          <t>COM/LOYER/MABICKA</t>
        </is>
      </c>
      <c r="F477" t="inlineStr"/>
      <c r="G477" s="3" t="n">
        <v>0</v>
      </c>
      <c r="H477" s="3" t="n">
        <v>45500</v>
      </c>
      <c r="I477" s="3" t="n">
        <v>-263700</v>
      </c>
    </row>
    <row r="478">
      <c r="A478" t="n">
        <v>70720000</v>
      </c>
      <c r="B478" s="2" t="n">
        <v>45670</v>
      </c>
      <c r="C478" t="inlineStr">
        <is>
          <t>COM</t>
        </is>
      </c>
      <c r="D478" t="inlineStr">
        <is>
          <t>13</t>
        </is>
      </c>
      <c r="E478" t="inlineStr">
        <is>
          <t>COM LOYER/OSSEY LYSE</t>
        </is>
      </c>
      <c r="F478" t="inlineStr"/>
      <c r="G478" s="3" t="n">
        <v>0</v>
      </c>
      <c r="H478" s="3" t="n">
        <v>75000</v>
      </c>
      <c r="I478" s="3" t="n">
        <v>-338700</v>
      </c>
    </row>
    <row r="479">
      <c r="A479" t="n">
        <v>70720000</v>
      </c>
      <c r="B479" s="2" t="n">
        <v>45670</v>
      </c>
      <c r="C479" t="inlineStr">
        <is>
          <t>COM</t>
        </is>
      </c>
      <c r="D479" t="inlineStr">
        <is>
          <t>15</t>
        </is>
      </c>
      <c r="E479" t="inlineStr">
        <is>
          <t>COM/LOYER/DAISY</t>
        </is>
      </c>
      <c r="F479" t="inlineStr"/>
      <c r="G479" s="3" t="n">
        <v>0</v>
      </c>
      <c r="H479" s="3" t="n">
        <v>70000</v>
      </c>
      <c r="I479" s="3" t="n">
        <v>-408700</v>
      </c>
    </row>
    <row r="480">
      <c r="A480" t="n">
        <v>70720000</v>
      </c>
      <c r="B480" s="2" t="n">
        <v>45686</v>
      </c>
      <c r="C480" t="inlineStr">
        <is>
          <t>COM</t>
        </is>
      </c>
      <c r="D480" t="inlineStr">
        <is>
          <t>17</t>
        </is>
      </c>
      <c r="E480" t="inlineStr">
        <is>
          <t>COM/LOYER/ MICKALA EP</t>
        </is>
      </c>
      <c r="F480" t="inlineStr"/>
      <c r="G480" s="3" t="n">
        <v>0</v>
      </c>
      <c r="H480" s="3" t="n">
        <v>73150</v>
      </c>
      <c r="I480" s="3" t="n">
        <v>-481850</v>
      </c>
    </row>
    <row r="481">
      <c r="A481" t="n">
        <v>70720000</v>
      </c>
      <c r="B481" s="2" t="n">
        <v>45695</v>
      </c>
      <c r="C481" t="inlineStr">
        <is>
          <t>COM</t>
        </is>
      </c>
      <c r="D481" t="inlineStr">
        <is>
          <t>21</t>
        </is>
      </c>
      <c r="E481" t="inlineStr">
        <is>
          <t>COMMISSIONS FEV</t>
        </is>
      </c>
      <c r="F481" t="inlineStr"/>
      <c r="G481" s="3" t="n">
        <v>0</v>
      </c>
      <c r="H481" s="3" t="n">
        <v>70000</v>
      </c>
      <c r="I481" s="3" t="n">
        <v>-551850</v>
      </c>
    </row>
    <row r="482">
      <c r="A482" t="n">
        <v>70720000</v>
      </c>
      <c r="B482" s="2" t="n">
        <v>45700</v>
      </c>
      <c r="C482" t="inlineStr">
        <is>
          <t>COM</t>
        </is>
      </c>
      <c r="D482" t="inlineStr">
        <is>
          <t>COM0202</t>
        </is>
      </c>
      <c r="E482" t="inlineStr">
        <is>
          <t>COMMISSION FEV</t>
        </is>
      </c>
      <c r="F482" t="inlineStr"/>
      <c r="G482" s="3" t="n">
        <v>0</v>
      </c>
      <c r="H482" s="3" t="n">
        <v>67000</v>
      </c>
      <c r="I482" s="3" t="n">
        <v>-618850</v>
      </c>
    </row>
    <row r="483">
      <c r="A483" t="n">
        <v>70720000</v>
      </c>
      <c r="B483" s="2" t="n">
        <v>45700</v>
      </c>
      <c r="C483" t="inlineStr">
        <is>
          <t>COM</t>
        </is>
      </c>
      <c r="D483" t="inlineStr">
        <is>
          <t>COM0203</t>
        </is>
      </c>
      <c r="E483" t="inlineStr">
        <is>
          <t>COMMISSION FEV</t>
        </is>
      </c>
      <c r="F483" t="inlineStr"/>
      <c r="G483" s="3" t="n">
        <v>0</v>
      </c>
      <c r="H483" s="3" t="n">
        <v>112000</v>
      </c>
      <c r="I483" s="3" t="n">
        <v>-730850</v>
      </c>
    </row>
    <row r="484">
      <c r="A484" t="n">
        <v>70720000</v>
      </c>
      <c r="B484" s="2" t="n">
        <v>45700</v>
      </c>
      <c r="C484" t="inlineStr">
        <is>
          <t>COM</t>
        </is>
      </c>
      <c r="D484" t="inlineStr">
        <is>
          <t>COM0204</t>
        </is>
      </c>
      <c r="E484" t="inlineStr">
        <is>
          <t>COMMISSION FEV</t>
        </is>
      </c>
      <c r="F484" t="inlineStr"/>
      <c r="G484" s="3" t="n">
        <v>0</v>
      </c>
      <c r="H484" s="3" t="n">
        <v>17500</v>
      </c>
      <c r="I484" s="3" t="n">
        <v>-748350</v>
      </c>
    </row>
    <row r="485">
      <c r="A485" t="n">
        <v>70720000</v>
      </c>
      <c r="B485" s="2" t="n">
        <v>45702</v>
      </c>
      <c r="C485" t="inlineStr">
        <is>
          <t>COM</t>
        </is>
      </c>
      <c r="D485" t="inlineStr">
        <is>
          <t>COM0205</t>
        </is>
      </c>
      <c r="E485" t="inlineStr">
        <is>
          <t>COMMISSION FEV</t>
        </is>
      </c>
      <c r="F485" t="inlineStr"/>
      <c r="G485" s="3" t="n">
        <v>0</v>
      </c>
      <c r="H485" s="3" t="n">
        <v>75000</v>
      </c>
      <c r="I485" s="3" t="n">
        <v>-823350</v>
      </c>
    </row>
    <row r="486">
      <c r="A486" t="n">
        <v>70720000</v>
      </c>
      <c r="B486" s="2" t="n">
        <v>45705</v>
      </c>
      <c r="C486" t="inlineStr">
        <is>
          <t>COM</t>
        </is>
      </c>
      <c r="D486" t="inlineStr">
        <is>
          <t>COM0206</t>
        </is>
      </c>
      <c r="E486" t="inlineStr">
        <is>
          <t>COMMISSION FEV</t>
        </is>
      </c>
      <c r="F486" t="inlineStr"/>
      <c r="G486" s="3" t="n">
        <v>0</v>
      </c>
      <c r="H486" s="3" t="n">
        <v>63000</v>
      </c>
      <c r="I486" s="3" t="n">
        <v>-886350</v>
      </c>
    </row>
    <row r="487">
      <c r="A487" t="n">
        <v>70720000</v>
      </c>
      <c r="B487" s="2" t="n">
        <v>45716</v>
      </c>
      <c r="C487" t="inlineStr">
        <is>
          <t>COM</t>
        </is>
      </c>
      <c r="D487" t="inlineStr">
        <is>
          <t>COM0207</t>
        </is>
      </c>
      <c r="E487" t="inlineStr">
        <is>
          <t>COMMISSION FEV</t>
        </is>
      </c>
      <c r="F487" t="inlineStr"/>
      <c r="G487" s="3" t="n">
        <v>0</v>
      </c>
      <c r="H487" s="3" t="n">
        <v>28000</v>
      </c>
      <c r="I487" s="3" t="n">
        <v>-914350</v>
      </c>
    </row>
    <row r="488">
      <c r="A488" t="n">
        <v>70720000</v>
      </c>
      <c r="B488" s="2" t="n">
        <v>45716</v>
      </c>
      <c r="C488" t="inlineStr">
        <is>
          <t>COM</t>
        </is>
      </c>
      <c r="D488" t="inlineStr">
        <is>
          <t>COM0208</t>
        </is>
      </c>
      <c r="E488" t="inlineStr">
        <is>
          <t>COMMISSION FEV</t>
        </is>
      </c>
      <c r="F488" t="inlineStr"/>
      <c r="G488" s="3" t="n">
        <v>0</v>
      </c>
      <c r="H488" s="3" t="n">
        <v>43750</v>
      </c>
      <c r="I488" s="3" t="n">
        <v>-958100</v>
      </c>
    </row>
    <row r="489">
      <c r="A489" t="n">
        <v>70720000</v>
      </c>
      <c r="B489" s="2" t="n">
        <v>45722</v>
      </c>
      <c r="C489" t="inlineStr">
        <is>
          <t>COM</t>
        </is>
      </c>
      <c r="D489" t="inlineStr">
        <is>
          <t>COM03001</t>
        </is>
      </c>
      <c r="E489" t="inlineStr">
        <is>
          <t>VERSEMNT ESPECES</t>
        </is>
      </c>
      <c r="F489" t="inlineStr"/>
      <c r="G489" s="3" t="n">
        <v>0</v>
      </c>
      <c r="H489" s="3" t="n">
        <v>41650</v>
      </c>
      <c r="I489" s="3" t="n">
        <v>-999750</v>
      </c>
    </row>
    <row r="490">
      <c r="A490" t="n">
        <v>70720000</v>
      </c>
      <c r="B490" s="2" t="n">
        <v>45726</v>
      </c>
      <c r="C490" t="inlineStr">
        <is>
          <t>COM</t>
        </is>
      </c>
      <c r="D490" t="inlineStr">
        <is>
          <t>COM03003</t>
        </is>
      </c>
      <c r="E490" t="inlineStr">
        <is>
          <t>VERSMT ESPECES</t>
        </is>
      </c>
      <c r="F490" t="inlineStr"/>
      <c r="G490" s="3" t="n">
        <v>0</v>
      </c>
      <c r="H490" s="3" t="n">
        <v>17500</v>
      </c>
      <c r="I490" s="3" t="n">
        <v>-1017250</v>
      </c>
    </row>
    <row r="491">
      <c r="A491" t="n">
        <v>70720000</v>
      </c>
      <c r="B491" s="2" t="n">
        <v>45726</v>
      </c>
      <c r="C491" t="inlineStr">
        <is>
          <t>COM</t>
        </is>
      </c>
      <c r="D491" t="inlineStr">
        <is>
          <t>COM03004</t>
        </is>
      </c>
      <c r="E491" t="inlineStr">
        <is>
          <t>VERSMT ESPECES</t>
        </is>
      </c>
      <c r="F491" t="inlineStr"/>
      <c r="G491" s="3" t="n">
        <v>0</v>
      </c>
      <c r="H491" s="3" t="n">
        <v>70000</v>
      </c>
      <c r="I491" s="3" t="n">
        <v>-1087250</v>
      </c>
    </row>
    <row r="492">
      <c r="A492" t="n">
        <v>70720000</v>
      </c>
      <c r="B492" s="2" t="n">
        <v>45727</v>
      </c>
      <c r="C492" t="inlineStr">
        <is>
          <t>COM</t>
        </is>
      </c>
      <c r="D492" t="inlineStr">
        <is>
          <t>COM03005</t>
        </is>
      </c>
      <c r="E492" t="inlineStr">
        <is>
          <t>VERSMT ESPECES</t>
        </is>
      </c>
      <c r="F492" t="inlineStr"/>
      <c r="G492" s="3" t="n">
        <v>0</v>
      </c>
      <c r="H492" s="3" t="n">
        <v>112000</v>
      </c>
      <c r="I492" s="3" t="n">
        <v>-1199250</v>
      </c>
    </row>
    <row r="493">
      <c r="A493" t="n">
        <v>70720000</v>
      </c>
      <c r="B493" s="2" t="n">
        <v>45727</v>
      </c>
      <c r="C493" t="inlineStr">
        <is>
          <t>COM</t>
        </is>
      </c>
      <c r="D493" t="inlineStr">
        <is>
          <t>COM03006</t>
        </is>
      </c>
      <c r="E493" t="inlineStr">
        <is>
          <t>VERSMT ESPECES</t>
        </is>
      </c>
      <c r="F493" t="inlineStr"/>
      <c r="G493" s="3" t="n">
        <v>0</v>
      </c>
      <c r="H493" s="3" t="n">
        <v>35700</v>
      </c>
      <c r="I493" s="3" t="n">
        <v>-1234950</v>
      </c>
    </row>
    <row r="494">
      <c r="A494" t="n">
        <v>70720000</v>
      </c>
      <c r="B494" s="2" t="n">
        <v>45727</v>
      </c>
      <c r="C494" t="inlineStr">
        <is>
          <t>COM</t>
        </is>
      </c>
      <c r="D494" t="inlineStr">
        <is>
          <t>COM03008</t>
        </is>
      </c>
      <c r="E494" t="inlineStr">
        <is>
          <t>VERSMT ESPECES</t>
        </is>
      </c>
      <c r="F494" t="inlineStr"/>
      <c r="G494" s="3" t="n">
        <v>0</v>
      </c>
      <c r="H494" s="3" t="n">
        <v>67000</v>
      </c>
      <c r="I494" s="3" t="n">
        <v>-1301950</v>
      </c>
    </row>
    <row r="495">
      <c r="A495" t="n">
        <v>70720000</v>
      </c>
      <c r="B495" s="2" t="n">
        <v>45728</v>
      </c>
      <c r="C495" t="inlineStr">
        <is>
          <t>COM</t>
        </is>
      </c>
      <c r="D495" t="inlineStr">
        <is>
          <t>COM03009</t>
        </is>
      </c>
      <c r="E495" t="inlineStr">
        <is>
          <t>VERSMT ESPECES</t>
        </is>
      </c>
      <c r="F495" t="inlineStr"/>
      <c r="G495" s="3" t="n">
        <v>0</v>
      </c>
      <c r="H495" s="3" t="n">
        <v>75000</v>
      </c>
      <c r="I495" s="3" t="n">
        <v>-1376950</v>
      </c>
    </row>
    <row r="496">
      <c r="A496" t="n">
        <v>70720000</v>
      </c>
      <c r="B496" s="2" t="n">
        <v>45728</v>
      </c>
      <c r="C496" t="inlineStr">
        <is>
          <t>COM</t>
        </is>
      </c>
      <c r="D496" t="inlineStr">
        <is>
          <t>COM03010</t>
        </is>
      </c>
      <c r="E496" t="inlineStr">
        <is>
          <t>REMISE CHQ</t>
        </is>
      </c>
      <c r="F496" t="inlineStr"/>
      <c r="G496" s="3" t="n">
        <v>0</v>
      </c>
      <c r="H496" s="3" t="n">
        <v>295500</v>
      </c>
      <c r="I496" s="3" t="n">
        <v>-1672450</v>
      </c>
    </row>
    <row r="497">
      <c r="A497" t="n">
        <v>70720000</v>
      </c>
      <c r="B497" s="2" t="n">
        <v>45734</v>
      </c>
      <c r="C497" t="inlineStr">
        <is>
          <t>COM</t>
        </is>
      </c>
      <c r="D497" t="inlineStr">
        <is>
          <t>COM03011</t>
        </is>
      </c>
      <c r="E497" t="inlineStr">
        <is>
          <t>VERSEMNT ESPECES</t>
        </is>
      </c>
      <c r="F497" t="inlineStr"/>
      <c r="G497" s="3" t="n">
        <v>0</v>
      </c>
      <c r="H497" s="3" t="n">
        <v>63000</v>
      </c>
      <c r="I497" s="3" t="n">
        <v>-1735450</v>
      </c>
    </row>
    <row r="498">
      <c r="A498" t="n">
        <v>70720000</v>
      </c>
      <c r="B498" s="2" t="n">
        <v>45742</v>
      </c>
      <c r="C498" t="inlineStr">
        <is>
          <t>COM</t>
        </is>
      </c>
      <c r="D498" t="inlineStr">
        <is>
          <t>COM03012</t>
        </is>
      </c>
      <c r="E498" t="inlineStr">
        <is>
          <t>VERSEMNT ESPECES</t>
        </is>
      </c>
      <c r="F498" t="inlineStr"/>
      <c r="G498" s="3" t="n">
        <v>0</v>
      </c>
      <c r="H498" s="3" t="n">
        <v>56350</v>
      </c>
      <c r="I498" s="3" t="n">
        <v>-1791800</v>
      </c>
    </row>
    <row r="499">
      <c r="A499" t="n">
        <v>70720000</v>
      </c>
      <c r="B499" s="2" t="n">
        <v>45755</v>
      </c>
      <c r="C499" t="inlineStr">
        <is>
          <t>COM</t>
        </is>
      </c>
      <c r="D499" t="inlineStr">
        <is>
          <t>COM0401</t>
        </is>
      </c>
      <c r="E499" t="inlineStr">
        <is>
          <t>LOYER 04</t>
        </is>
      </c>
      <c r="F499" t="inlineStr"/>
      <c r="G499" s="3" t="n">
        <v>0</v>
      </c>
      <c r="H499" s="3" t="n">
        <v>70000</v>
      </c>
      <c r="I499" s="3" t="n">
        <v>-1861800</v>
      </c>
    </row>
    <row r="500">
      <c r="A500" t="n">
        <v>70720000</v>
      </c>
      <c r="B500" s="2" t="n">
        <v>45761</v>
      </c>
      <c r="C500" t="inlineStr">
        <is>
          <t>COM</t>
        </is>
      </c>
      <c r="D500" t="inlineStr">
        <is>
          <t>COM04001</t>
        </is>
      </c>
      <c r="E500" t="inlineStr">
        <is>
          <t>VERSEMENT ESPECES</t>
        </is>
      </c>
      <c r="F500" t="inlineStr"/>
      <c r="G500" s="3" t="n">
        <v>0</v>
      </c>
      <c r="H500" s="3" t="n">
        <v>35700</v>
      </c>
      <c r="I500" s="3" t="n">
        <v>-1897500</v>
      </c>
    </row>
    <row r="501">
      <c r="A501" t="n">
        <v>70720000</v>
      </c>
      <c r="B501" s="2" t="n">
        <v>45761</v>
      </c>
      <c r="C501" t="inlineStr">
        <is>
          <t>COM</t>
        </is>
      </c>
      <c r="D501" t="inlineStr">
        <is>
          <t>COM04002</t>
        </is>
      </c>
      <c r="E501" t="inlineStr">
        <is>
          <t>VERSEMENT ESPECES</t>
        </is>
      </c>
      <c r="F501" t="inlineStr"/>
      <c r="G501" s="3" t="n">
        <v>0</v>
      </c>
      <c r="H501" s="3" t="n">
        <v>48650</v>
      </c>
      <c r="I501" s="3" t="n">
        <v>-1946150</v>
      </c>
    </row>
    <row r="502">
      <c r="A502" t="n">
        <v>70720000</v>
      </c>
      <c r="B502" s="2" t="n">
        <v>45761</v>
      </c>
      <c r="C502" t="inlineStr">
        <is>
          <t>COM</t>
        </is>
      </c>
      <c r="D502" t="inlineStr">
        <is>
          <t>COM04003</t>
        </is>
      </c>
      <c r="E502" t="inlineStr">
        <is>
          <t>VERSEMENT ESPECES</t>
        </is>
      </c>
      <c r="F502" t="inlineStr"/>
      <c r="G502" s="3" t="n">
        <v>0</v>
      </c>
      <c r="H502" s="3" t="n">
        <v>75000</v>
      </c>
      <c r="I502" s="3" t="n">
        <v>-2021150</v>
      </c>
    </row>
    <row r="503">
      <c r="A503" t="n">
        <v>70720000</v>
      </c>
      <c r="B503" s="2" t="n">
        <v>45761</v>
      </c>
      <c r="C503" t="inlineStr">
        <is>
          <t>COM</t>
        </is>
      </c>
      <c r="D503" t="inlineStr">
        <is>
          <t>COM04004</t>
        </is>
      </c>
      <c r="E503" t="inlineStr">
        <is>
          <t>VERSEMENT ESPECES</t>
        </is>
      </c>
      <c r="F503" t="inlineStr"/>
      <c r="G503" s="3" t="n">
        <v>0</v>
      </c>
      <c r="H503" s="3" t="n">
        <v>70000</v>
      </c>
      <c r="I503" s="3" t="n">
        <v>-2091150</v>
      </c>
    </row>
    <row r="504">
      <c r="A504" t="n">
        <v>70720000</v>
      </c>
      <c r="B504" s="2" t="n">
        <v>45761</v>
      </c>
      <c r="C504" t="inlineStr">
        <is>
          <t>COM</t>
        </is>
      </c>
      <c r="D504" t="inlineStr">
        <is>
          <t>COM04005</t>
        </is>
      </c>
      <c r="E504" t="inlineStr">
        <is>
          <t>VERSEMENT ESPECES</t>
        </is>
      </c>
      <c r="F504" t="inlineStr"/>
      <c r="G504" s="3" t="n">
        <v>0</v>
      </c>
      <c r="H504" s="3" t="n">
        <v>67000</v>
      </c>
      <c r="I504" s="3" t="n">
        <v>-2158150</v>
      </c>
    </row>
    <row r="505">
      <c r="A505" t="n">
        <v>70720000</v>
      </c>
      <c r="B505" s="2" t="n">
        <v>45762</v>
      </c>
      <c r="C505" t="inlineStr">
        <is>
          <t>COM</t>
        </is>
      </c>
      <c r="D505" t="inlineStr">
        <is>
          <t>COM04006</t>
        </is>
      </c>
      <c r="E505" t="inlineStr">
        <is>
          <t>VERSEMENT ESPECES</t>
        </is>
      </c>
      <c r="F505" t="inlineStr"/>
      <c r="G505" s="3" t="n">
        <v>0</v>
      </c>
      <c r="H505" s="3" t="n">
        <v>63000</v>
      </c>
      <c r="I505" s="3" t="n">
        <v>-2221150</v>
      </c>
    </row>
    <row r="506">
      <c r="A506" t="n">
        <v>70720000</v>
      </c>
      <c r="B506" s="2" t="n">
        <v>45763</v>
      </c>
      <c r="C506" t="inlineStr">
        <is>
          <t>COM</t>
        </is>
      </c>
      <c r="D506" t="inlineStr">
        <is>
          <t>COM04007</t>
        </is>
      </c>
      <c r="E506" t="inlineStr">
        <is>
          <t>VERSEMENT ESPECES</t>
        </is>
      </c>
      <c r="F506" t="inlineStr"/>
      <c r="G506" s="3" t="n">
        <v>0</v>
      </c>
      <c r="H506" s="3" t="n">
        <v>17500</v>
      </c>
      <c r="I506" s="3" t="n">
        <v>-2238650</v>
      </c>
    </row>
    <row r="507">
      <c r="A507" t="n">
        <v>70720000</v>
      </c>
      <c r="B507" s="2" t="n">
        <v>45769</v>
      </c>
      <c r="C507" t="inlineStr">
        <is>
          <t>COM</t>
        </is>
      </c>
      <c r="D507" t="inlineStr">
        <is>
          <t>COM04008</t>
        </is>
      </c>
      <c r="E507" t="inlineStr">
        <is>
          <t>VERSMENT ESPECES</t>
        </is>
      </c>
      <c r="F507" t="inlineStr"/>
      <c r="G507" s="3" t="n">
        <v>0</v>
      </c>
      <c r="H507" s="3" t="n">
        <v>50050</v>
      </c>
      <c r="I507" s="3" t="n">
        <v>-2288700</v>
      </c>
    </row>
    <row r="508">
      <c r="A508" t="n">
        <v>70720000</v>
      </c>
      <c r="B508" s="2" t="n">
        <v>45776</v>
      </c>
      <c r="C508" t="inlineStr">
        <is>
          <t>COM</t>
        </is>
      </c>
      <c r="D508" t="inlineStr">
        <is>
          <t>COM04009</t>
        </is>
      </c>
      <c r="E508" t="inlineStr">
        <is>
          <t>VERSMENT ESPECES</t>
        </is>
      </c>
      <c r="F508" t="inlineStr"/>
      <c r="G508" s="3" t="n">
        <v>0</v>
      </c>
      <c r="H508" s="3" t="n">
        <v>28000</v>
      </c>
      <c r="I508" s="3" t="n">
        <v>-2316700</v>
      </c>
    </row>
    <row r="509">
      <c r="A509" t="n">
        <v>70720000</v>
      </c>
      <c r="B509" s="2" t="n">
        <v>45776</v>
      </c>
      <c r="C509" t="inlineStr">
        <is>
          <t>COM</t>
        </is>
      </c>
      <c r="D509" t="inlineStr">
        <is>
          <t>COM04009</t>
        </is>
      </c>
      <c r="E509" t="inlineStr">
        <is>
          <t>COMMISSION LOYER AVR 2025</t>
        </is>
      </c>
      <c r="F509" t="inlineStr"/>
      <c r="G509" s="3" t="n">
        <v>0</v>
      </c>
      <c r="H509" s="3" t="n">
        <v>69300</v>
      </c>
      <c r="I509" s="3" t="n">
        <v>-2386000</v>
      </c>
    </row>
    <row r="510">
      <c r="A510" t="n">
        <v>70720000</v>
      </c>
      <c r="B510" s="2" t="n">
        <v>45782</v>
      </c>
      <c r="C510" t="inlineStr">
        <is>
          <t>BQE</t>
        </is>
      </c>
      <c r="D510" t="inlineStr">
        <is>
          <t>BQE02030</t>
        </is>
      </c>
      <c r="E510" t="inlineStr">
        <is>
          <t>VERSEMENT ESPECES NZIENGUI PHILLIPE</t>
        </is>
      </c>
      <c r="F510" t="inlineStr"/>
      <c r="G510" s="3" t="n">
        <v>0</v>
      </c>
      <c r="H510" s="3" t="n">
        <v>70000</v>
      </c>
      <c r="I510" s="3" t="n">
        <v>-2456000</v>
      </c>
    </row>
    <row r="511">
      <c r="A511" t="n">
        <v>70720000</v>
      </c>
      <c r="B511" s="2" t="n">
        <v>45786</v>
      </c>
      <c r="C511" t="inlineStr">
        <is>
          <t>BQE</t>
        </is>
      </c>
      <c r="D511" t="inlineStr">
        <is>
          <t>BQE02031</t>
        </is>
      </c>
      <c r="E511" t="inlineStr">
        <is>
          <t>VERSEMENT ESPECES BAMBOO IMMO/GUY PATRICK</t>
        </is>
      </c>
      <c r="F511" t="inlineStr"/>
      <c r="G511" s="3" t="n">
        <v>0</v>
      </c>
      <c r="H511" s="3" t="n">
        <v>48300</v>
      </c>
      <c r="I511" s="3" t="n">
        <v>-2504300</v>
      </c>
    </row>
    <row r="512">
      <c r="A512" t="n">
        <v>70720000</v>
      </c>
      <c r="B512" s="2" t="n">
        <v>45786</v>
      </c>
      <c r="C512" t="inlineStr">
        <is>
          <t>BQE</t>
        </is>
      </c>
      <c r="D512" t="inlineStr">
        <is>
          <t>BQE02032</t>
        </is>
      </c>
      <c r="E512" t="inlineStr">
        <is>
          <t>VERSEMENT  ESPECES GUY PATRICK/BMBOO IMMO</t>
        </is>
      </c>
      <c r="F512" t="inlineStr"/>
      <c r="G512" s="3" t="n">
        <v>0</v>
      </c>
      <c r="H512" s="3" t="n">
        <v>28000</v>
      </c>
      <c r="I512" s="3" t="n">
        <v>-2532300</v>
      </c>
    </row>
    <row r="513">
      <c r="A513" t="n">
        <v>70720000</v>
      </c>
      <c r="B513" s="2" t="n">
        <v>45789</v>
      </c>
      <c r="C513" t="inlineStr">
        <is>
          <t>BQE</t>
        </is>
      </c>
      <c r="D513" t="inlineStr">
        <is>
          <t>BQE02034</t>
        </is>
      </c>
      <c r="E513" t="inlineStr">
        <is>
          <t>VERSEMENT ESPECES BAMBOO IMMO/GUY PATRICK</t>
        </is>
      </c>
      <c r="F513" t="inlineStr"/>
      <c r="G513" s="3" t="n">
        <v>0</v>
      </c>
      <c r="H513" s="3" t="n">
        <v>67000</v>
      </c>
      <c r="I513" s="3" t="n">
        <v>-2599300</v>
      </c>
    </row>
    <row r="514">
      <c r="A514" t="n">
        <v>70720000</v>
      </c>
      <c r="B514" s="2" t="n">
        <v>45789</v>
      </c>
      <c r="C514" t="inlineStr">
        <is>
          <t>BQE</t>
        </is>
      </c>
      <c r="D514" t="inlineStr">
        <is>
          <t>BQE02035</t>
        </is>
      </c>
      <c r="E514" t="inlineStr">
        <is>
          <t>VERSEMENT ESPECES GUY PATRICK</t>
        </is>
      </c>
      <c r="F514" t="inlineStr"/>
      <c r="G514" s="3" t="n">
        <v>0</v>
      </c>
      <c r="H514" s="3" t="n">
        <v>17500</v>
      </c>
      <c r="I514" s="3" t="n">
        <v>-2616800</v>
      </c>
    </row>
    <row r="515">
      <c r="A515" t="n">
        <v>70720000</v>
      </c>
      <c r="B515" s="2" t="n">
        <v>45789</v>
      </c>
      <c r="C515" t="inlineStr">
        <is>
          <t>BQE</t>
        </is>
      </c>
      <c r="D515" t="inlineStr">
        <is>
          <t>BQE02036</t>
        </is>
      </c>
      <c r="E515" t="inlineStr">
        <is>
          <t>VERSEMENT ESPECES NBAMBOO IMMO/GUY PATRICK</t>
        </is>
      </c>
      <c r="F515" t="inlineStr"/>
      <c r="G515" s="3" t="n">
        <v>0</v>
      </c>
      <c r="H515" s="3" t="n">
        <v>75000</v>
      </c>
      <c r="I515" s="3" t="n">
        <v>-2691800</v>
      </c>
    </row>
    <row r="516">
      <c r="A516" t="n">
        <v>70720000</v>
      </c>
      <c r="B516" s="2" t="n">
        <v>45792</v>
      </c>
      <c r="C516" t="inlineStr">
        <is>
          <t>BQE</t>
        </is>
      </c>
      <c r="D516" t="inlineStr">
        <is>
          <t>BQE02037</t>
        </is>
      </c>
      <c r="E516" t="inlineStr">
        <is>
          <t>VERSEMENT ESPECES BAMBOO IMMO/GUY PATRCIK</t>
        </is>
      </c>
      <c r="F516" t="inlineStr"/>
      <c r="G516" s="3" t="n">
        <v>0</v>
      </c>
      <c r="H516" s="3" t="n">
        <v>17850</v>
      </c>
      <c r="I516" s="3" t="n">
        <v>-2709650</v>
      </c>
    </row>
    <row r="517">
      <c r="A517" t="n">
        <v>70720000</v>
      </c>
      <c r="B517" s="2" t="n">
        <v>45797</v>
      </c>
      <c r="C517" t="inlineStr">
        <is>
          <t>BQE</t>
        </is>
      </c>
      <c r="D517" t="inlineStr">
        <is>
          <t>BQE02038</t>
        </is>
      </c>
      <c r="E517" t="inlineStr">
        <is>
          <t>VERSEMENT ESPECES BAMBOO IMMO/GUY PATRICK</t>
        </is>
      </c>
      <c r="F517" t="inlineStr"/>
      <c r="G517" s="3" t="n">
        <v>0</v>
      </c>
      <c r="H517" s="3" t="n">
        <v>70000</v>
      </c>
      <c r="I517" s="3" t="n">
        <v>-2779650</v>
      </c>
    </row>
    <row r="518">
      <c r="A518" t="n">
        <v>70720000</v>
      </c>
      <c r="B518" s="2" t="n">
        <v>45799</v>
      </c>
      <c r="C518" t="inlineStr">
        <is>
          <t>BQE</t>
        </is>
      </c>
      <c r="D518" t="inlineStr">
        <is>
          <t>BQE02039</t>
        </is>
      </c>
      <c r="E518" t="inlineStr">
        <is>
          <t>VERSEMENT ESPECES BAMBOO IMMO/GUY PATRICK</t>
        </is>
      </c>
      <c r="F518" t="inlineStr"/>
      <c r="G518" s="3" t="n">
        <v>0</v>
      </c>
      <c r="H518" s="3" t="n">
        <v>63000</v>
      </c>
      <c r="I518" s="3" t="n">
        <v>-2842650</v>
      </c>
    </row>
    <row r="519">
      <c r="A519" t="n">
        <v>70720000</v>
      </c>
      <c r="B519" s="2" t="n">
        <v>45799</v>
      </c>
      <c r="C519" t="inlineStr">
        <is>
          <t>BQE</t>
        </is>
      </c>
      <c r="D519" t="inlineStr">
        <is>
          <t>BQE02040</t>
        </is>
      </c>
      <c r="E519" t="inlineStr">
        <is>
          <t>VERSEMENT ESPECES BAMBOO IMMO/GUY PATRICK</t>
        </is>
      </c>
      <c r="F519" t="inlineStr"/>
      <c r="G519" s="3" t="n">
        <v>0</v>
      </c>
      <c r="H519" s="3" t="n">
        <v>25200</v>
      </c>
      <c r="I519" s="3" t="n">
        <v>-2867850</v>
      </c>
    </row>
    <row r="520">
      <c r="A520" t="n">
        <v>70720000</v>
      </c>
      <c r="B520" s="2" t="n">
        <v>45804</v>
      </c>
      <c r="C520" t="inlineStr">
        <is>
          <t>BQE</t>
        </is>
      </c>
      <c r="D520" t="inlineStr">
        <is>
          <t>BQE02041</t>
        </is>
      </c>
      <c r="E520" t="inlineStr">
        <is>
          <t>VERSEMENT ESPECES BAMBOO IMMO/GUY PATRICK</t>
        </is>
      </c>
      <c r="F520" t="inlineStr"/>
      <c r="G520" s="3" t="n">
        <v>0</v>
      </c>
      <c r="H520" s="3" t="n">
        <v>73150</v>
      </c>
      <c r="I520" s="3" t="n">
        <v>-2941000</v>
      </c>
    </row>
    <row r="521">
      <c r="A521" t="n">
        <v>70720000</v>
      </c>
      <c r="B521" s="2" t="n">
        <v>45818</v>
      </c>
      <c r="C521" t="inlineStr">
        <is>
          <t>COM</t>
        </is>
      </c>
      <c r="D521" t="inlineStr">
        <is>
          <t>COM06001</t>
        </is>
      </c>
      <c r="E521" t="inlineStr">
        <is>
          <t>COMMISSIONS LOYER MAI 2025</t>
        </is>
      </c>
      <c r="F521" t="inlineStr"/>
      <c r="G521" s="3" t="n">
        <v>0</v>
      </c>
      <c r="H521" s="3" t="n">
        <v>43400</v>
      </c>
      <c r="I521" s="3" t="n">
        <v>-2984400</v>
      </c>
    </row>
    <row r="522">
      <c r="A522" t="n">
        <v>70720000</v>
      </c>
      <c r="B522" s="2" t="n">
        <v>45818</v>
      </c>
      <c r="C522" t="inlineStr">
        <is>
          <t>COM</t>
        </is>
      </c>
      <c r="D522" t="inlineStr">
        <is>
          <t>COM06002</t>
        </is>
      </c>
      <c r="E522" t="inlineStr">
        <is>
          <t>COMMISSIONS LOYER MAI 2025</t>
        </is>
      </c>
      <c r="F522" t="inlineStr"/>
      <c r="G522" s="3" t="n">
        <v>0</v>
      </c>
      <c r="H522" s="3" t="n">
        <v>67000</v>
      </c>
      <c r="I522" s="3" t="n">
        <v>-3051400</v>
      </c>
    </row>
    <row r="523">
      <c r="A523" t="n">
        <v>70720000</v>
      </c>
      <c r="B523" s="2" t="n">
        <v>45818</v>
      </c>
      <c r="C523" t="inlineStr">
        <is>
          <t>COM</t>
        </is>
      </c>
      <c r="D523" t="inlineStr">
        <is>
          <t>COM06003</t>
        </is>
      </c>
      <c r="E523" t="inlineStr">
        <is>
          <t>COMMISSIONS LOYER MAI 2025</t>
        </is>
      </c>
      <c r="F523" t="inlineStr"/>
      <c r="G523" s="3" t="n">
        <v>0</v>
      </c>
      <c r="H523" s="3" t="n">
        <v>35700</v>
      </c>
      <c r="I523" s="3" t="n">
        <v>-3087100</v>
      </c>
    </row>
    <row r="524">
      <c r="A524" t="n">
        <v>70720000</v>
      </c>
      <c r="B524" s="2" t="n">
        <v>45819</v>
      </c>
      <c r="C524" t="inlineStr">
        <is>
          <t>COM</t>
        </is>
      </c>
      <c r="D524" t="inlineStr">
        <is>
          <t>COM06004</t>
        </is>
      </c>
      <c r="E524" t="inlineStr">
        <is>
          <t>COMMISSIONS LOYER MAI 2025</t>
        </is>
      </c>
      <c r="F524" t="inlineStr"/>
      <c r="G524" s="3" t="n">
        <v>0</v>
      </c>
      <c r="H524" s="3" t="n">
        <v>42000</v>
      </c>
      <c r="I524" s="3" t="n">
        <v>-3129100</v>
      </c>
    </row>
    <row r="525">
      <c r="A525" t="n">
        <v>70720000</v>
      </c>
      <c r="B525" s="2" t="n">
        <v>45821</v>
      </c>
      <c r="C525" t="inlineStr">
        <is>
          <t>COM</t>
        </is>
      </c>
      <c r="D525" t="inlineStr">
        <is>
          <t>COM06005</t>
        </is>
      </c>
      <c r="E525" t="inlineStr">
        <is>
          <t>COMMISSION LOYER MAI 2025</t>
        </is>
      </c>
      <c r="F525" t="inlineStr"/>
      <c r="G525" s="3" t="n">
        <v>0</v>
      </c>
      <c r="H525" s="3" t="n">
        <v>70000</v>
      </c>
      <c r="I525" s="3" t="n">
        <v>-3199100</v>
      </c>
    </row>
    <row r="526">
      <c r="A526" t="n">
        <v>70720000</v>
      </c>
      <c r="B526" s="2" t="n">
        <v>45821</v>
      </c>
      <c r="C526" t="inlineStr">
        <is>
          <t>COM</t>
        </is>
      </c>
      <c r="D526" t="inlineStr">
        <is>
          <t>COM06006</t>
        </is>
      </c>
      <c r="E526" t="inlineStr">
        <is>
          <t>COMMISSION LOYER MAI 2025</t>
        </is>
      </c>
      <c r="F526" t="inlineStr"/>
      <c r="G526" s="3" t="n">
        <v>0</v>
      </c>
      <c r="H526" s="3" t="n">
        <v>75000</v>
      </c>
      <c r="I526" s="3" t="n">
        <v>-3274100</v>
      </c>
    </row>
    <row r="527">
      <c r="A527" t="n">
        <v>70720000</v>
      </c>
      <c r="B527" s="2" t="n">
        <v>45821</v>
      </c>
      <c r="C527" t="inlineStr">
        <is>
          <t>COM</t>
        </is>
      </c>
      <c r="D527" t="inlineStr">
        <is>
          <t>COM06007</t>
        </is>
      </c>
      <c r="E527" t="inlineStr">
        <is>
          <t>COMMISSION LOYER MAI 2025</t>
        </is>
      </c>
      <c r="F527" t="inlineStr"/>
      <c r="G527" s="3" t="n">
        <v>0</v>
      </c>
      <c r="H527" s="3" t="n">
        <v>17500</v>
      </c>
      <c r="I527" s="3" t="n">
        <v>-3291600</v>
      </c>
    </row>
    <row r="528">
      <c r="A528" t="n">
        <v>70720000</v>
      </c>
      <c r="B528" s="2" t="n">
        <v>45824</v>
      </c>
      <c r="C528" t="inlineStr">
        <is>
          <t>COM</t>
        </is>
      </c>
      <c r="D528" t="inlineStr">
        <is>
          <t>COM06008</t>
        </is>
      </c>
      <c r="E528" t="inlineStr">
        <is>
          <t>COMMISSION LOYER MAI 2025</t>
        </is>
      </c>
      <c r="F528" t="inlineStr"/>
      <c r="G528" s="3" t="n">
        <v>0</v>
      </c>
      <c r="H528" s="3" t="n">
        <v>136500</v>
      </c>
      <c r="I528" s="3" t="n">
        <v>-3428100</v>
      </c>
    </row>
    <row r="529">
      <c r="A529" t="n">
        <v>70720000</v>
      </c>
      <c r="B529" s="2" t="n">
        <v>45825</v>
      </c>
      <c r="C529" t="inlineStr">
        <is>
          <t>COM</t>
        </is>
      </c>
      <c r="D529" t="inlineStr">
        <is>
          <t>COM06009</t>
        </is>
      </c>
      <c r="E529" t="inlineStr">
        <is>
          <t>COMMISSION LOYER MAI 2025</t>
        </is>
      </c>
      <c r="F529" t="inlineStr"/>
      <c r="G529" s="3" t="n">
        <v>0</v>
      </c>
      <c r="H529" s="3" t="n">
        <v>43400</v>
      </c>
      <c r="I529" s="3" t="n">
        <v>-3471500</v>
      </c>
    </row>
    <row r="530">
      <c r="A530" t="n">
        <v>70720000</v>
      </c>
      <c r="B530" s="2" t="n">
        <v>45832</v>
      </c>
      <c r="C530" t="inlineStr">
        <is>
          <t>COM</t>
        </is>
      </c>
      <c r="D530" t="inlineStr">
        <is>
          <t>COM06010</t>
        </is>
      </c>
      <c r="E530" t="inlineStr">
        <is>
          <t>COMMISSION LOYER MAI 2025</t>
        </is>
      </c>
      <c r="F530" t="inlineStr"/>
      <c r="G530" s="3" t="n">
        <v>0</v>
      </c>
      <c r="H530" s="3" t="n">
        <v>21700</v>
      </c>
      <c r="I530" s="3" t="n">
        <v>-3493200</v>
      </c>
    </row>
    <row r="531">
      <c r="A531" t="n">
        <v>70720000</v>
      </c>
      <c r="B531" s="2" t="n">
        <v>45833</v>
      </c>
      <c r="C531" t="inlineStr">
        <is>
          <t>COM</t>
        </is>
      </c>
      <c r="D531" t="inlineStr">
        <is>
          <t>COM06011</t>
        </is>
      </c>
      <c r="E531" t="inlineStr">
        <is>
          <t>FACTURATION LOYER MAI 2025</t>
        </is>
      </c>
      <c r="F531" t="inlineStr"/>
      <c r="G531" s="3" t="n">
        <v>0</v>
      </c>
      <c r="H531" s="3" t="n">
        <v>70000</v>
      </c>
      <c r="I531" s="3" t="n">
        <v>-3563200</v>
      </c>
    </row>
    <row r="532">
      <c r="A532" t="n">
        <v>70720000</v>
      </c>
      <c r="B532" s="2" t="n">
        <v>45845</v>
      </c>
      <c r="C532" t="inlineStr">
        <is>
          <t>COM</t>
        </is>
      </c>
      <c r="D532" t="inlineStr">
        <is>
          <t>COM07001</t>
        </is>
      </c>
      <c r="E532" t="inlineStr">
        <is>
          <t>COMMISSIONS LOYER JUIL 2025</t>
        </is>
      </c>
      <c r="F532" t="inlineStr"/>
      <c r="G532" s="3" t="n">
        <v>0</v>
      </c>
      <c r="H532" s="3" t="n">
        <v>50050</v>
      </c>
      <c r="I532" s="3" t="n">
        <v>-3613250</v>
      </c>
    </row>
    <row r="533">
      <c r="A533" t="n">
        <v>70720000</v>
      </c>
      <c r="B533" s="2" t="n">
        <v>45845</v>
      </c>
      <c r="C533" t="inlineStr">
        <is>
          <t>COM</t>
        </is>
      </c>
      <c r="D533" t="inlineStr">
        <is>
          <t>COM07002</t>
        </is>
      </c>
      <c r="E533" t="inlineStr">
        <is>
          <t>COMMISSIONS LOYER JUIL 2025</t>
        </is>
      </c>
      <c r="F533" t="inlineStr"/>
      <c r="G533" s="3" t="n">
        <v>0</v>
      </c>
      <c r="H533" s="3" t="n">
        <v>28000</v>
      </c>
      <c r="I533" s="3" t="n">
        <v>-3641250</v>
      </c>
    </row>
    <row r="534">
      <c r="A534" t="n">
        <v>70720000</v>
      </c>
      <c r="B534" s="2" t="n">
        <v>45845</v>
      </c>
      <c r="C534" t="inlineStr">
        <is>
          <t>COM</t>
        </is>
      </c>
      <c r="D534" t="inlineStr">
        <is>
          <t>COM07003</t>
        </is>
      </c>
      <c r="E534" t="inlineStr">
        <is>
          <t>COMMISSION LOYER JUIL 2025</t>
        </is>
      </c>
      <c r="F534" t="inlineStr"/>
      <c r="G534" s="3" t="n">
        <v>0</v>
      </c>
      <c r="H534" s="3" t="n">
        <v>54250</v>
      </c>
      <c r="I534" s="3" t="n">
        <v>-3695500</v>
      </c>
    </row>
    <row r="535">
      <c r="A535" t="n">
        <v>70720000</v>
      </c>
      <c r="B535" s="2" t="n">
        <v>45847</v>
      </c>
      <c r="C535" t="inlineStr">
        <is>
          <t>COM</t>
        </is>
      </c>
      <c r="D535" t="inlineStr">
        <is>
          <t>COM07004</t>
        </is>
      </c>
      <c r="E535" t="inlineStr">
        <is>
          <t>COMMISSION LOYER JUIL 2025</t>
        </is>
      </c>
      <c r="F535" t="inlineStr"/>
      <c r="G535" s="3" t="n">
        <v>0</v>
      </c>
      <c r="H535" s="3" t="n">
        <v>23800</v>
      </c>
      <c r="I535" s="3" t="n">
        <v>-3719300</v>
      </c>
    </row>
    <row r="536">
      <c r="A536" t="n">
        <v>70720000</v>
      </c>
      <c r="B536" s="2" t="n">
        <v>45848</v>
      </c>
      <c r="C536" t="inlineStr">
        <is>
          <t>COM</t>
        </is>
      </c>
      <c r="D536" t="inlineStr">
        <is>
          <t>COM07005</t>
        </is>
      </c>
      <c r="E536" t="inlineStr">
        <is>
          <t>COMMISSION LOYER JUIL 2025</t>
        </is>
      </c>
      <c r="F536" t="inlineStr"/>
      <c r="G536" s="3" t="n">
        <v>0</v>
      </c>
      <c r="H536" s="3" t="n">
        <v>35700</v>
      </c>
      <c r="I536" s="3" t="n">
        <v>-3755000</v>
      </c>
    </row>
    <row r="537">
      <c r="A537" t="n">
        <v>70720000</v>
      </c>
      <c r="B537" s="2" t="n">
        <v>45848</v>
      </c>
      <c r="C537" t="inlineStr">
        <is>
          <t>COM</t>
        </is>
      </c>
      <c r="D537" t="inlineStr">
        <is>
          <t>COM07006</t>
        </is>
      </c>
      <c r="E537" t="inlineStr">
        <is>
          <t>COMMISSION LOYER JUIL 2025</t>
        </is>
      </c>
      <c r="F537" t="inlineStr"/>
      <c r="G537" s="3" t="n">
        <v>0</v>
      </c>
      <c r="H537" s="3" t="n">
        <v>43400</v>
      </c>
      <c r="I537" s="3" t="n">
        <v>-3798400</v>
      </c>
    </row>
    <row r="538">
      <c r="A538" t="n">
        <v>70720000</v>
      </c>
      <c r="B538" s="2" t="n">
        <v>45853</v>
      </c>
      <c r="C538" t="inlineStr">
        <is>
          <t>COM</t>
        </is>
      </c>
      <c r="D538" t="inlineStr">
        <is>
          <t>COM07007</t>
        </is>
      </c>
      <c r="E538" t="inlineStr">
        <is>
          <t>COMMISSION LOYER JUIL 2025</t>
        </is>
      </c>
      <c r="F538" t="inlineStr"/>
      <c r="G538" s="3" t="n">
        <v>0</v>
      </c>
      <c r="H538" s="3" t="n">
        <v>75000</v>
      </c>
      <c r="I538" s="3" t="n">
        <v>-3873400</v>
      </c>
    </row>
    <row r="539">
      <c r="A539" t="n">
        <v>70720000</v>
      </c>
      <c r="B539" s="2" t="n">
        <v>45854</v>
      </c>
      <c r="C539" t="inlineStr">
        <is>
          <t>COM</t>
        </is>
      </c>
      <c r="D539" t="inlineStr">
        <is>
          <t>COM07008</t>
        </is>
      </c>
      <c r="E539" t="inlineStr">
        <is>
          <t>COMMISSION LOYER JUIL 2025</t>
        </is>
      </c>
      <c r="F539" t="inlineStr"/>
      <c r="G539" s="3" t="n">
        <v>0</v>
      </c>
      <c r="H539" s="3" t="n">
        <v>70000</v>
      </c>
      <c r="I539" s="3" t="n">
        <v>-3943400</v>
      </c>
    </row>
    <row r="540">
      <c r="A540" t="n">
        <v>70720000</v>
      </c>
      <c r="B540" s="2" t="n">
        <v>45855</v>
      </c>
      <c r="C540" t="inlineStr">
        <is>
          <t>COM</t>
        </is>
      </c>
      <c r="D540" t="inlineStr">
        <is>
          <t>COM07009</t>
        </is>
      </c>
      <c r="E540" t="inlineStr">
        <is>
          <t>COMMISSION LOYER JUIL 2025</t>
        </is>
      </c>
      <c r="F540" t="inlineStr"/>
      <c r="G540" s="3" t="n">
        <v>0</v>
      </c>
      <c r="H540" s="3" t="n">
        <v>67000</v>
      </c>
      <c r="I540" s="3" t="n">
        <v>-4010400</v>
      </c>
    </row>
    <row r="541">
      <c r="A541" t="n">
        <v>70720000</v>
      </c>
      <c r="B541" s="2" t="n">
        <v>45859</v>
      </c>
      <c r="C541" t="inlineStr">
        <is>
          <t>COM</t>
        </is>
      </c>
      <c r="D541" t="inlineStr">
        <is>
          <t>COM07010</t>
        </is>
      </c>
      <c r="E541" t="inlineStr">
        <is>
          <t>COMMISSION LOYER JUIL 2025</t>
        </is>
      </c>
      <c r="F541" t="inlineStr"/>
      <c r="G541" s="3" t="n">
        <v>0</v>
      </c>
      <c r="H541" s="3" t="n">
        <v>29400</v>
      </c>
      <c r="I541" s="3" t="n">
        <v>-4039800</v>
      </c>
    </row>
    <row r="542">
      <c r="A542" t="n">
        <v>70720000</v>
      </c>
      <c r="B542" s="2" t="n">
        <v>45860</v>
      </c>
      <c r="C542" t="inlineStr">
        <is>
          <t>COM</t>
        </is>
      </c>
      <c r="D542" t="inlineStr">
        <is>
          <t>COM07011</t>
        </is>
      </c>
      <c r="E542" t="inlineStr">
        <is>
          <t>COMMISSION LOYER JUIL 2025</t>
        </is>
      </c>
      <c r="F542" t="inlineStr"/>
      <c r="G542" s="3" t="n">
        <v>0</v>
      </c>
      <c r="H542" s="3" t="n">
        <v>25550</v>
      </c>
      <c r="I542" s="3" t="n">
        <v>-4065350</v>
      </c>
    </row>
    <row r="543">
      <c r="A543" t="n">
        <v>70720000</v>
      </c>
      <c r="B543" s="2" t="n">
        <v>45868</v>
      </c>
      <c r="C543" t="inlineStr">
        <is>
          <t>COM</t>
        </is>
      </c>
      <c r="D543" t="inlineStr">
        <is>
          <t>COM07013</t>
        </is>
      </c>
      <c r="E543" t="inlineStr">
        <is>
          <t>COMMISSION LOYER JUIL 2025</t>
        </is>
      </c>
      <c r="F543" t="inlineStr"/>
      <c r="G543" s="3" t="n">
        <v>0</v>
      </c>
      <c r="H543" s="3" t="n">
        <v>12250</v>
      </c>
      <c r="I543" s="3" t="n">
        <v>-4077600</v>
      </c>
    </row>
    <row r="544">
      <c r="A544" t="n">
        <v>70720000</v>
      </c>
      <c r="B544" s="2" t="n">
        <v>45868</v>
      </c>
      <c r="C544" t="inlineStr">
        <is>
          <t>COM</t>
        </is>
      </c>
      <c r="D544" t="inlineStr">
        <is>
          <t>COM07014</t>
        </is>
      </c>
      <c r="E544" t="inlineStr">
        <is>
          <t>COMMISSION LOYER JUIL 2025</t>
        </is>
      </c>
      <c r="F544" t="inlineStr"/>
      <c r="G544" s="3" t="n">
        <v>0</v>
      </c>
      <c r="H544" s="3" t="n">
        <v>20650</v>
      </c>
      <c r="I544" s="3" t="n">
        <v>-4098250</v>
      </c>
    </row>
    <row r="545">
      <c r="A545" t="n">
        <v>70720000</v>
      </c>
      <c r="B545" s="2" t="n">
        <v>45868</v>
      </c>
      <c r="C545" t="inlineStr">
        <is>
          <t>COM</t>
        </is>
      </c>
      <c r="D545" t="inlineStr">
        <is>
          <t>COM07015</t>
        </is>
      </c>
      <c r="E545" t="inlineStr">
        <is>
          <t>COMMISSION LOYER JUIL 2025</t>
        </is>
      </c>
      <c r="F545" t="inlineStr"/>
      <c r="G545" s="3" t="n">
        <v>0</v>
      </c>
      <c r="H545" s="3" t="n">
        <v>69300</v>
      </c>
      <c r="I545" s="3" t="n">
        <v>-4167550</v>
      </c>
    </row>
    <row r="546">
      <c r="A546" t="n">
        <v>70720000</v>
      </c>
      <c r="B546" s="2" t="n">
        <v>45876</v>
      </c>
      <c r="C546" t="inlineStr">
        <is>
          <t>COM</t>
        </is>
      </c>
      <c r="D546" t="inlineStr">
        <is>
          <t>COM08001</t>
        </is>
      </c>
      <c r="E546" t="inlineStr">
        <is>
          <t>COMMISSION AOUT 2025</t>
        </is>
      </c>
      <c r="F546" t="inlineStr"/>
      <c r="G546" s="3" t="n">
        <v>0</v>
      </c>
      <c r="H546" s="3" t="n">
        <v>45500</v>
      </c>
      <c r="I546" s="3" t="n">
        <v>-4213050</v>
      </c>
    </row>
    <row r="547">
      <c r="A547" t="n">
        <v>70720000</v>
      </c>
      <c r="B547" s="2" t="n">
        <v>45877</v>
      </c>
      <c r="C547" t="inlineStr">
        <is>
          <t>COM</t>
        </is>
      </c>
      <c r="D547" t="inlineStr">
        <is>
          <t>COM08002</t>
        </is>
      </c>
      <c r="E547" t="inlineStr">
        <is>
          <t>COMMISSION AOUT 2025</t>
        </is>
      </c>
      <c r="F547" t="inlineStr"/>
      <c r="G547" s="3" t="n">
        <v>0</v>
      </c>
      <c r="H547" s="3" t="n">
        <v>43400</v>
      </c>
      <c r="I547" s="3" t="n">
        <v>-4256450</v>
      </c>
    </row>
    <row r="548">
      <c r="A548" t="n">
        <v>70720000</v>
      </c>
      <c r="B548" s="2" t="n">
        <v>45880</v>
      </c>
      <c r="C548" t="inlineStr">
        <is>
          <t>COM</t>
        </is>
      </c>
      <c r="D548" t="inlineStr">
        <is>
          <t>COM08003</t>
        </is>
      </c>
      <c r="E548" t="inlineStr">
        <is>
          <t>COMMISSION AOUT 2025</t>
        </is>
      </c>
      <c r="F548" t="inlineStr"/>
      <c r="G548" s="3" t="n">
        <v>0</v>
      </c>
      <c r="H548" s="3" t="n">
        <v>23800</v>
      </c>
      <c r="I548" s="3" t="n">
        <v>-4280250</v>
      </c>
    </row>
    <row r="549">
      <c r="A549" t="n">
        <v>70720000</v>
      </c>
      <c r="B549" s="2" t="n">
        <v>45880</v>
      </c>
      <c r="C549" t="inlineStr">
        <is>
          <t>COM</t>
        </is>
      </c>
      <c r="D549" t="inlineStr">
        <is>
          <t>COM08004</t>
        </is>
      </c>
      <c r="E549" t="inlineStr">
        <is>
          <t>COMMISSION AOUT 2025</t>
        </is>
      </c>
      <c r="F549" t="inlineStr"/>
      <c r="G549" s="3" t="n">
        <v>0</v>
      </c>
      <c r="H549" s="3" t="n">
        <v>67000</v>
      </c>
      <c r="I549" s="3" t="n">
        <v>-4347250</v>
      </c>
    </row>
    <row r="550">
      <c r="A550" t="n">
        <v>70720000</v>
      </c>
      <c r="B550" s="2" t="n">
        <v>45881</v>
      </c>
      <c r="C550" t="inlineStr">
        <is>
          <t>COM</t>
        </is>
      </c>
      <c r="D550" t="inlineStr">
        <is>
          <t>COM08005</t>
        </is>
      </c>
      <c r="E550" t="inlineStr">
        <is>
          <t>COMMISSION AOUT 2025</t>
        </is>
      </c>
      <c r="F550" t="inlineStr"/>
      <c r="G550" s="3" t="n">
        <v>0</v>
      </c>
      <c r="H550" s="3" t="n">
        <v>28000</v>
      </c>
      <c r="I550" s="3" t="n">
        <v>-4375250</v>
      </c>
    </row>
    <row r="551">
      <c r="A551" t="n">
        <v>70720000</v>
      </c>
      <c r="B551" s="2" t="n">
        <v>45882</v>
      </c>
      <c r="C551" t="inlineStr">
        <is>
          <t>COM</t>
        </is>
      </c>
      <c r="D551" t="inlineStr">
        <is>
          <t>COM08006</t>
        </is>
      </c>
      <c r="E551" t="inlineStr">
        <is>
          <t>COMMISSION AOUT 2025</t>
        </is>
      </c>
      <c r="F551" t="inlineStr"/>
      <c r="G551" s="3" t="n">
        <v>0</v>
      </c>
      <c r="H551" s="3" t="n">
        <v>16100</v>
      </c>
      <c r="I551" s="3" t="n">
        <v>-4391350</v>
      </c>
    </row>
    <row r="552">
      <c r="A552" t="n">
        <v>70720000</v>
      </c>
      <c r="B552" s="2" t="n">
        <v>45883</v>
      </c>
      <c r="C552" t="inlineStr">
        <is>
          <t>COM</t>
        </is>
      </c>
      <c r="D552" t="inlineStr">
        <is>
          <t>COM08007</t>
        </is>
      </c>
      <c r="E552" t="inlineStr">
        <is>
          <t>COMMISSION AOUT 2025</t>
        </is>
      </c>
      <c r="F552" t="inlineStr"/>
      <c r="G552" s="3" t="n">
        <v>0</v>
      </c>
      <c r="H552" s="3" t="n">
        <v>75000</v>
      </c>
      <c r="I552" s="3" t="n">
        <v>-4466350</v>
      </c>
    </row>
    <row r="553">
      <c r="A553" t="n">
        <v>70720000</v>
      </c>
      <c r="B553" s="2" t="n">
        <v>45887</v>
      </c>
      <c r="C553" t="inlineStr">
        <is>
          <t>COM</t>
        </is>
      </c>
      <c r="D553" t="inlineStr">
        <is>
          <t>COM08008</t>
        </is>
      </c>
      <c r="E553" t="inlineStr">
        <is>
          <t>COMMISSION AOUT 2025</t>
        </is>
      </c>
      <c r="F553" t="inlineStr"/>
      <c r="G553" s="3" t="n">
        <v>0</v>
      </c>
      <c r="H553" s="3" t="n">
        <v>70000</v>
      </c>
      <c r="I553" s="3" t="n">
        <v>-4536350</v>
      </c>
    </row>
    <row r="554">
      <c r="A554" t="n">
        <v>70720000</v>
      </c>
      <c r="B554" s="2" t="n">
        <v>45887</v>
      </c>
      <c r="C554" t="inlineStr">
        <is>
          <t>COM</t>
        </is>
      </c>
      <c r="D554" t="inlineStr">
        <is>
          <t>COM08009</t>
        </is>
      </c>
      <c r="E554" t="inlineStr">
        <is>
          <t>COMMISSION AOUT 2025</t>
        </is>
      </c>
      <c r="F554" t="inlineStr"/>
      <c r="G554" s="3" t="n">
        <v>0</v>
      </c>
      <c r="H554" s="3" t="n">
        <v>70000</v>
      </c>
      <c r="I554" s="3" t="n">
        <v>-4606350</v>
      </c>
    </row>
    <row r="555">
      <c r="A555" t="n">
        <v>70720000</v>
      </c>
      <c r="B555" s="2" t="n">
        <v>45891</v>
      </c>
      <c r="C555" t="inlineStr">
        <is>
          <t>COM</t>
        </is>
      </c>
      <c r="D555" t="inlineStr">
        <is>
          <t>COM08010</t>
        </is>
      </c>
      <c r="E555" t="inlineStr">
        <is>
          <t>COMMISSION AOUT 2025</t>
        </is>
      </c>
      <c r="F555" t="inlineStr"/>
      <c r="G555" s="3" t="n">
        <v>0</v>
      </c>
      <c r="H555" s="3" t="n">
        <v>50050</v>
      </c>
      <c r="I555" s="3" t="n">
        <v>-4656400</v>
      </c>
    </row>
    <row r="556">
      <c r="A556" t="n">
        <v>70720000</v>
      </c>
      <c r="B556" s="2" t="n">
        <v>45895</v>
      </c>
      <c r="C556" t="inlineStr">
        <is>
          <t>COM</t>
        </is>
      </c>
      <c r="D556" t="inlineStr">
        <is>
          <t>COM08011</t>
        </is>
      </c>
      <c r="E556" t="inlineStr">
        <is>
          <t>COMMISSION AOUT 2025</t>
        </is>
      </c>
      <c r="F556" t="inlineStr"/>
      <c r="G556" s="3" t="n">
        <v>0</v>
      </c>
      <c r="H556" s="3" t="n">
        <v>36000</v>
      </c>
      <c r="I556" s="3" t="n">
        <v>-4692400</v>
      </c>
    </row>
    <row r="557">
      <c r="A557" t="n">
        <v>70720000</v>
      </c>
      <c r="B557" s="2" t="n">
        <v>45908</v>
      </c>
      <c r="C557" t="inlineStr">
        <is>
          <t>COM</t>
        </is>
      </c>
      <c r="D557" t="inlineStr">
        <is>
          <t>COM09002</t>
        </is>
      </c>
      <c r="E557" t="inlineStr">
        <is>
          <t>COMMISSION SEPTEMBRE 2025</t>
        </is>
      </c>
      <c r="F557" t="inlineStr"/>
      <c r="G557" s="3" t="n">
        <v>0</v>
      </c>
      <c r="H557" s="3" t="n">
        <v>31500</v>
      </c>
      <c r="I557" s="3" t="n">
        <v>-4860400</v>
      </c>
    </row>
    <row r="558">
      <c r="A558" t="n">
        <v>70720000</v>
      </c>
      <c r="B558" s="2" t="n">
        <v>45908</v>
      </c>
      <c r="C558" t="inlineStr">
        <is>
          <t>COM</t>
        </is>
      </c>
      <c r="D558" t="inlineStr">
        <is>
          <t>COM09003</t>
        </is>
      </c>
      <c r="E558" t="inlineStr">
        <is>
          <t>COMMISSION SEPTEMBRE 2025</t>
        </is>
      </c>
      <c r="F558" t="inlineStr"/>
      <c r="G558" s="3" t="n">
        <v>0</v>
      </c>
      <c r="H558" s="3" t="n">
        <v>69300</v>
      </c>
      <c r="I558" s="3" t="n">
        <v>-4929700</v>
      </c>
    </row>
    <row r="559">
      <c r="A559" t="n">
        <v>70720000</v>
      </c>
      <c r="B559" s="2" t="n">
        <v>45910</v>
      </c>
      <c r="C559" t="inlineStr">
        <is>
          <t>COM</t>
        </is>
      </c>
      <c r="D559" t="inlineStr">
        <is>
          <t>COM09001</t>
        </is>
      </c>
      <c r="E559" t="inlineStr">
        <is>
          <t>COMMISSION SEPTEMBRE 2025</t>
        </is>
      </c>
      <c r="F559" t="inlineStr"/>
      <c r="G559" s="3" t="n">
        <v>0</v>
      </c>
      <c r="H559" s="3" t="n">
        <v>136500</v>
      </c>
      <c r="I559" s="3" t="n">
        <v>-4828900</v>
      </c>
    </row>
    <row r="560">
      <c r="A560" t="n">
        <v>70720000</v>
      </c>
      <c r="B560" s="2" t="n">
        <v>45911</v>
      </c>
      <c r="C560" t="inlineStr">
        <is>
          <t>COM</t>
        </is>
      </c>
      <c r="D560" t="inlineStr">
        <is>
          <t>COM09004</t>
        </is>
      </c>
      <c r="E560" t="inlineStr">
        <is>
          <t>COMMISSION SEPTEMBRE 2025</t>
        </is>
      </c>
      <c r="F560" t="inlineStr"/>
      <c r="G560" s="3" t="n">
        <v>0</v>
      </c>
      <c r="H560" s="3" t="n">
        <v>11900</v>
      </c>
      <c r="I560" s="3" t="n">
        <v>-4941600</v>
      </c>
    </row>
    <row r="561">
      <c r="A561" t="n">
        <v>70720000</v>
      </c>
      <c r="B561" s="2" t="n">
        <v>45911</v>
      </c>
      <c r="C561" t="inlineStr">
        <is>
          <t>COM</t>
        </is>
      </c>
      <c r="D561" t="inlineStr">
        <is>
          <t>COM09005</t>
        </is>
      </c>
      <c r="E561" t="inlineStr">
        <is>
          <t>COMMISSION SEPTEMBRE 2025</t>
        </is>
      </c>
      <c r="F561" t="inlineStr"/>
      <c r="G561" s="3" t="n">
        <v>0</v>
      </c>
      <c r="H561" s="3" t="n">
        <v>67000</v>
      </c>
      <c r="I561" s="3" t="n">
        <v>-5008600</v>
      </c>
    </row>
    <row r="562">
      <c r="A562" t="n">
        <v>70720000</v>
      </c>
      <c r="B562" s="2" t="n">
        <v>45912</v>
      </c>
      <c r="C562" t="inlineStr">
        <is>
          <t>COM</t>
        </is>
      </c>
      <c r="D562" t="inlineStr">
        <is>
          <t>COM09006</t>
        </is>
      </c>
      <c r="E562" t="inlineStr">
        <is>
          <t>COMMISSION SEPTEMBRE 2025</t>
        </is>
      </c>
      <c r="F562" t="inlineStr"/>
      <c r="G562" s="3" t="n">
        <v>0</v>
      </c>
      <c r="H562" s="3" t="n">
        <v>70000</v>
      </c>
      <c r="I562" s="3" t="n">
        <v>-5078600</v>
      </c>
    </row>
    <row r="563">
      <c r="A563" t="n">
        <v>70720000</v>
      </c>
      <c r="B563" s="2" t="n">
        <v>45912</v>
      </c>
      <c r="C563" t="inlineStr">
        <is>
          <t>COM</t>
        </is>
      </c>
      <c r="D563" t="inlineStr">
        <is>
          <t>COM09007</t>
        </is>
      </c>
      <c r="E563" t="inlineStr">
        <is>
          <t>COMMISSION SEPTEMBRE 2025</t>
        </is>
      </c>
      <c r="F563" t="inlineStr"/>
      <c r="G563" s="3" t="n">
        <v>0</v>
      </c>
      <c r="H563" s="3" t="n">
        <v>16100</v>
      </c>
      <c r="I563" s="3" t="n">
        <v>-5094700</v>
      </c>
    </row>
    <row r="564">
      <c r="A564" t="n">
        <v>70720000</v>
      </c>
      <c r="B564" s="2" t="n">
        <v>45922</v>
      </c>
      <c r="C564" t="inlineStr">
        <is>
          <t>COM</t>
        </is>
      </c>
      <c r="D564" t="inlineStr">
        <is>
          <t>COM09008</t>
        </is>
      </c>
      <c r="E564" t="inlineStr">
        <is>
          <t>COMMISSION SEPTEMBRE 2025</t>
        </is>
      </c>
      <c r="F564" t="inlineStr"/>
      <c r="G564" s="3" t="n">
        <v>0</v>
      </c>
      <c r="H564" s="3" t="n">
        <v>30100</v>
      </c>
      <c r="I564" s="3" t="n">
        <v>-5124800</v>
      </c>
    </row>
    <row r="565">
      <c r="A565" t="n">
        <v>70720000</v>
      </c>
      <c r="B565" s="2" t="n">
        <v>45929</v>
      </c>
      <c r="C565" t="inlineStr">
        <is>
          <t>COM</t>
        </is>
      </c>
      <c r="D565" t="inlineStr">
        <is>
          <t>COM09009</t>
        </is>
      </c>
      <c r="E565" t="inlineStr">
        <is>
          <t>COMMISSION SEPTEMBRE 2025</t>
        </is>
      </c>
      <c r="F565" t="inlineStr"/>
      <c r="G565" s="3" t="n">
        <v>0</v>
      </c>
      <c r="H565" s="3" t="n">
        <v>10500</v>
      </c>
      <c r="I565" s="3" t="n">
        <v>-5135300</v>
      </c>
    </row>
    <row r="566">
      <c r="A566" t="n">
        <v>70720000</v>
      </c>
      <c r="B566" s="2" t="n">
        <v>45930</v>
      </c>
      <c r="C566" t="inlineStr">
        <is>
          <t>COM</t>
        </is>
      </c>
      <c r="D566" t="inlineStr">
        <is>
          <t>COM09010</t>
        </is>
      </c>
      <c r="E566" t="inlineStr">
        <is>
          <t>COMMISSION SEPTEMBRE 2025</t>
        </is>
      </c>
      <c r="F566" t="inlineStr"/>
      <c r="G566" s="3" t="n">
        <v>0</v>
      </c>
      <c r="H566" s="3" t="n">
        <v>50050</v>
      </c>
      <c r="I566" s="3" t="n">
        <v>-5185350</v>
      </c>
    </row>
    <row r="567">
      <c r="A567" t="n">
        <v>70720000</v>
      </c>
      <c r="B567" s="2" t="n">
        <v>45931</v>
      </c>
      <c r="C567" t="inlineStr">
        <is>
          <t>COM</t>
        </is>
      </c>
      <c r="D567" t="inlineStr">
        <is>
          <t>COM10001</t>
        </is>
      </c>
      <c r="E567" t="inlineStr">
        <is>
          <t>COMMISSION OCTOBRE 2025</t>
        </is>
      </c>
      <c r="F567" t="inlineStr"/>
      <c r="G567" s="3" t="n">
        <v>0</v>
      </c>
      <c r="H567" s="3" t="n">
        <v>522800</v>
      </c>
      <c r="I567" s="3" t="n">
        <v>-5708150</v>
      </c>
    </row>
    <row r="568">
      <c r="A568" s="4" t="inlineStr"/>
      <c r="B568" s="4" t="inlineStr"/>
      <c r="C568" s="4" t="inlineStr"/>
      <c r="D568" s="4" t="inlineStr"/>
      <c r="E568" s="4" t="inlineStr"/>
      <c r="F568" s="4" t="inlineStr"/>
      <c r="G568" s="5">
        <f>SUM(G2:G567)</f>
        <v/>
      </c>
      <c r="H568" s="5">
        <f>SUM(H2:H567)</f>
        <v/>
      </c>
      <c r="I568" s="4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s="4" t="inlineStr"/>
      <c r="B570" s="4" t="inlineStr"/>
      <c r="C570" s="4" t="inlineStr"/>
      <c r="D570" s="4" t="inlineStr"/>
      <c r="E570" s="4" t="inlineStr"/>
      <c r="F570" s="4" t="inlineStr"/>
      <c r="G570" s="4" t="inlineStr"/>
      <c r="H570" s="5">
        <f>H568-G568</f>
        <v/>
      </c>
      <c r="I570" s="4" t="inlineStr"/>
    </row>
    <row r="572">
      <c r="A572" s="6" t="inlineStr">
        <is>
          <t>📄 Généré par 2BN CONSULTING le 03/12/2025 à 10:03:40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s="1" t="inlineStr">
        <is>
          <t>N° Compte</t>
        </is>
      </c>
      <c r="B3" s="1" t="inlineStr">
        <is>
          <t>Libellé</t>
        </is>
      </c>
      <c r="C3" s="1" t="inlineStr">
        <is>
          <t>Total Débit</t>
        </is>
      </c>
      <c r="D3" s="1" t="inlineStr">
        <is>
          <t>Total Crédit</t>
        </is>
      </c>
      <c r="E3" s="1" t="inlineStr">
        <is>
          <t>Solde Débiteur</t>
        </is>
      </c>
      <c r="F3" s="1" t="inlineStr">
        <is>
          <t>Solde Créditeur</t>
        </is>
      </c>
    </row>
    <row r="4">
      <c r="A4" t="n">
        <v>10120000</v>
      </c>
      <c r="B4" t="inlineStr">
        <is>
          <t>CAPITAL SOUSCRIT APPELE NON VERSE</t>
        </is>
      </c>
      <c r="C4" s="3" t="n">
        <v>0</v>
      </c>
      <c r="D4" s="3" t="n">
        <v>500000</v>
      </c>
      <c r="E4" s="3">
        <f>MAX(0,C4-D4)</f>
        <v/>
      </c>
      <c r="F4" s="3">
        <f>MAX(0,D4-C4)</f>
        <v/>
      </c>
    </row>
    <row r="5">
      <c r="A5" t="n">
        <v>10130000</v>
      </c>
      <c r="B5" t="inlineStr">
        <is>
          <t>CAPITAL SOUSCRIT APPELE NON VERSE</t>
        </is>
      </c>
      <c r="C5" s="3" t="n">
        <v>0</v>
      </c>
      <c r="D5" s="3" t="n">
        <v>500000</v>
      </c>
      <c r="E5" s="3">
        <f>MAX(0,C5-D5)</f>
        <v/>
      </c>
      <c r="F5" s="3">
        <f>MAX(0,D5-C5)</f>
        <v/>
      </c>
    </row>
    <row r="6">
      <c r="A6" t="n">
        <v>12100000</v>
      </c>
      <c r="B6" t="inlineStr">
        <is>
          <t>REPORT A NOUVEAU CREDITEUR</t>
        </is>
      </c>
      <c r="C6" s="3" t="n">
        <v>0</v>
      </c>
      <c r="D6" s="3" t="n">
        <v>12124</v>
      </c>
      <c r="E6" s="3">
        <f>MAX(0,C6-D6)</f>
        <v/>
      </c>
      <c r="F6" s="3">
        <f>MAX(0,D6-C6)</f>
        <v/>
      </c>
    </row>
    <row r="7">
      <c r="A7" t="n">
        <v>21220000</v>
      </c>
      <c r="B7" t="inlineStr">
        <is>
          <t>AQUISITION LOGICIELES MICROSOFT 365 BUSINESS BASIC</t>
        </is>
      </c>
      <c r="C7" s="3" t="n">
        <v>99960</v>
      </c>
      <c r="D7" s="3" t="n">
        <v>0</v>
      </c>
      <c r="E7" s="3">
        <f>MAX(0,C7-D7)</f>
        <v/>
      </c>
      <c r="F7" s="3">
        <f>MAX(0,D7-C7)</f>
        <v/>
      </c>
    </row>
    <row r="8">
      <c r="A8" t="n">
        <v>23980000</v>
      </c>
      <c r="B8" t="inlineStr">
        <is>
          <t>TRAVX AMENAGEMENT BRX</t>
        </is>
      </c>
      <c r="C8" s="3" t="n">
        <v>2500000</v>
      </c>
      <c r="D8" s="3" t="n">
        <v>0</v>
      </c>
      <c r="E8" s="3">
        <f>MAX(0,C8-D8)</f>
        <v/>
      </c>
      <c r="F8" s="3">
        <f>MAX(0,D8-C8)</f>
        <v/>
      </c>
    </row>
    <row r="9">
      <c r="A9" t="n">
        <v>24510000</v>
      </c>
      <c r="B9" t="inlineStr">
        <is>
          <t>INTERCO/ACQUISITION VEHICULE</t>
        </is>
      </c>
      <c r="C9" s="3" t="n">
        <v>14450911</v>
      </c>
      <c r="D9" s="3" t="n">
        <v>0</v>
      </c>
      <c r="E9" s="3">
        <f>MAX(0,C9-D9)</f>
        <v/>
      </c>
      <c r="F9" s="3">
        <f>MAX(0,D9-C9)</f>
        <v/>
      </c>
    </row>
    <row r="10">
      <c r="A10" t="n">
        <v>28450000</v>
      </c>
      <c r="B10" t="inlineStr">
        <is>
          <t>AMORTISSEMENT DU MATERIEL DE TRANSPORT/DE MARS A AOUT 2025/ 6 MOIS</t>
        </is>
      </c>
      <c r="C10" s="3" t="n">
        <v>0</v>
      </c>
      <c r="D10" s="3" t="n">
        <v>2167638</v>
      </c>
      <c r="E10" s="3">
        <f>MAX(0,C10-D10)</f>
        <v/>
      </c>
      <c r="F10" s="3">
        <f>MAX(0,D10-C10)</f>
        <v/>
      </c>
    </row>
    <row r="11">
      <c r="A11" t="n">
        <v>40110000</v>
      </c>
      <c r="B11" t="inlineStr">
        <is>
          <t>FACTURE 2BNC NøFA2BNC052 DE JANVIER 2025</t>
        </is>
      </c>
      <c r="C11" s="3" t="n">
        <v>1685904</v>
      </c>
      <c r="D11" s="3" t="n">
        <v>2285904</v>
      </c>
      <c r="E11" s="3">
        <f>MAX(0,C11-D11)</f>
        <v/>
      </c>
      <c r="F11" s="3">
        <f>MAX(0,D11-C11)</f>
        <v/>
      </c>
    </row>
    <row r="12">
      <c r="A12" t="n">
        <v>40810000</v>
      </c>
      <c r="B12" t="inlineStr">
        <is>
          <t>ASSURANCE REPONSABILLITE CIVILE BAMBOO IMMO/BAMBOO ASSURE</t>
        </is>
      </c>
      <c r="C12" s="3" t="n">
        <v>119900</v>
      </c>
      <c r="D12" s="3" t="n">
        <v>0</v>
      </c>
      <c r="E12" s="3">
        <f>MAX(0,C12-D12)</f>
        <v/>
      </c>
      <c r="F12" s="3">
        <f>MAX(0,D12-C12)</f>
        <v/>
      </c>
    </row>
    <row r="13">
      <c r="A13" t="n">
        <v>41110000</v>
      </c>
      <c r="B13" t="inlineStr">
        <is>
          <t>VERSEMENT ESPECES BAMBOO IMMO /GUY PATRICK</t>
        </is>
      </c>
      <c r="C13" s="3" t="n">
        <v>5574650</v>
      </c>
      <c r="D13" s="3" t="n">
        <v>5574650</v>
      </c>
      <c r="E13" s="3">
        <f>MAX(0,C13-D13)</f>
        <v/>
      </c>
      <c r="F13" s="3">
        <f>MAX(0,D13-C13)</f>
        <v/>
      </c>
    </row>
    <row r="14">
      <c r="A14" t="n">
        <v>44110000</v>
      </c>
      <c r="B14" t="inlineStr">
        <is>
          <t>IMPOTS SUR LES SOCIETES</t>
        </is>
      </c>
      <c r="C14" s="3" t="n">
        <v>0</v>
      </c>
      <c r="D14" s="3" t="n">
        <v>500000</v>
      </c>
      <c r="E14" s="3">
        <f>MAX(0,C14-D14)</f>
        <v/>
      </c>
      <c r="F14" s="3">
        <f>MAX(0,D14-C14)</f>
        <v/>
      </c>
    </row>
    <row r="15">
      <c r="A15" t="n">
        <v>44781000</v>
      </c>
      <c r="B15" t="inlineStr">
        <is>
          <t>TPS</t>
        </is>
      </c>
      <c r="C15" s="3" t="n">
        <v>272922</v>
      </c>
      <c r="D15" s="3" t="n">
        <v>323878</v>
      </c>
      <c r="E15" s="3">
        <f>MAX(0,C15-D15)</f>
        <v/>
      </c>
      <c r="F15" s="3">
        <f>MAX(0,D15-C15)</f>
        <v/>
      </c>
    </row>
    <row r="16">
      <c r="A16" t="n">
        <v>46130000</v>
      </c>
      <c r="B16" t="inlineStr">
        <is>
          <t>APPORTEUR CAPITAL APPELE NON VERSE</t>
        </is>
      </c>
      <c r="C16" s="3" t="n">
        <v>500000</v>
      </c>
      <c r="D16" s="3" t="n">
        <v>0</v>
      </c>
      <c r="E16" s="3">
        <f>MAX(0,C16-D16)</f>
        <v/>
      </c>
      <c r="F16" s="3">
        <f>MAX(0,D16-C16)</f>
        <v/>
      </c>
    </row>
    <row r="17">
      <c r="A17" t="n">
        <v>46210000</v>
      </c>
      <c r="B17" t="inlineStr">
        <is>
          <t>VERSEMENT ESPECES BAMBOO IMMO GUY PATRICK /REMBOURSEMENT</t>
        </is>
      </c>
      <c r="C17" s="3" t="n">
        <v>5000000</v>
      </c>
      <c r="D17" s="3" t="n">
        <v>5000000</v>
      </c>
      <c r="E17" s="3">
        <f>MAX(0,C17-D17)</f>
        <v/>
      </c>
      <c r="F17" s="3">
        <f>MAX(0,D17-C17)</f>
        <v/>
      </c>
    </row>
    <row r="18">
      <c r="A18" t="n">
        <v>46601000</v>
      </c>
      <c r="B18" t="inlineStr">
        <is>
          <t>FACTURE 2BNC NøFA2BNC014 DE SEPTEMBRE 2024</t>
        </is>
      </c>
      <c r="C18" s="3" t="n">
        <v>0</v>
      </c>
      <c r="D18" s="3" t="n">
        <v>16339778</v>
      </c>
      <c r="E18" s="3">
        <f>MAX(0,C18-D18)</f>
        <v/>
      </c>
      <c r="F18" s="3">
        <f>MAX(0,D18-C18)</f>
        <v/>
      </c>
    </row>
    <row r="19">
      <c r="A19" t="n">
        <v>47110000</v>
      </c>
      <c r="B19" t="inlineStr">
        <is>
          <t>ESCOMPTE CHQORA 5338664</t>
        </is>
      </c>
      <c r="C19" s="3" t="n">
        <v>2113500</v>
      </c>
      <c r="D19" s="3" t="n">
        <v>1963500</v>
      </c>
      <c r="E19" s="3">
        <f>MAX(0,C19-D19)</f>
        <v/>
      </c>
      <c r="F19" s="3">
        <f>MAX(0,D19-C19)</f>
        <v/>
      </c>
    </row>
    <row r="20">
      <c r="A20" t="n">
        <v>47120000</v>
      </c>
      <c r="B20" t="inlineStr">
        <is>
          <t>REMISE CHQ</t>
        </is>
      </c>
      <c r="C20" s="3" t="n">
        <v>3495900</v>
      </c>
      <c r="D20" s="3" t="n">
        <v>3495900</v>
      </c>
      <c r="E20" s="3">
        <f>MAX(0,C20-D20)</f>
        <v/>
      </c>
      <c r="F20" s="3">
        <f>MAX(0,D20-C20)</f>
        <v/>
      </c>
    </row>
    <row r="21">
      <c r="A21" t="n">
        <v>48110000</v>
      </c>
      <c r="B21" t="inlineStr">
        <is>
          <t>AQUISITION LOGICIELES MICROSOFT 365 BUSINESS BASIC</t>
        </is>
      </c>
      <c r="C21" s="3" t="n">
        <v>99960</v>
      </c>
      <c r="D21" s="3" t="n">
        <v>99960</v>
      </c>
      <c r="E21" s="3">
        <f>MAX(0,C21-D21)</f>
        <v/>
      </c>
      <c r="F21" s="3">
        <f>MAX(0,D21-C21)</f>
        <v/>
      </c>
    </row>
    <row r="22">
      <c r="A22" t="n">
        <v>52110000</v>
      </c>
      <c r="B22" t="inlineStr">
        <is>
          <t>VERSEMENT ESPECES BAMBOO IMMO /GUY PATRICK</t>
        </is>
      </c>
      <c r="C22" s="3" t="n">
        <v>15985150</v>
      </c>
      <c r="D22" s="3" t="n">
        <v>11949514</v>
      </c>
      <c r="E22" s="3">
        <f>MAX(0,C22-D22)</f>
        <v/>
      </c>
      <c r="F22" s="3">
        <f>MAX(0,D22-C22)</f>
        <v/>
      </c>
    </row>
    <row r="23">
      <c r="A23" t="n">
        <v>52120000</v>
      </c>
      <c r="B23" t="inlineStr">
        <is>
          <t>FRAIS BANCAIRE D'OCTOBRE A DECEMBRE 2024</t>
        </is>
      </c>
      <c r="C23" s="3" t="n">
        <v>0</v>
      </c>
      <c r="D23" s="3" t="n">
        <v>84322</v>
      </c>
      <c r="E23" s="3">
        <f>MAX(0,C23-D23)</f>
        <v/>
      </c>
      <c r="F23" s="3">
        <f>MAX(0,D23-C23)</f>
        <v/>
      </c>
    </row>
    <row r="24">
      <c r="A24" t="n">
        <v>60570000</v>
      </c>
      <c r="B24" t="inlineStr">
        <is>
          <t>IMPRESSION CARNET 50 FEUILLE+SOUCHES</t>
        </is>
      </c>
      <c r="C24" s="3" t="n">
        <v>94872</v>
      </c>
      <c r="D24" s="3" t="n">
        <v>0</v>
      </c>
      <c r="E24" s="3">
        <f>MAX(0,C24-D24)</f>
        <v/>
      </c>
      <c r="F24" s="3">
        <f>MAX(0,D24-C24)</f>
        <v/>
      </c>
    </row>
    <row r="25">
      <c r="A25" t="n">
        <v>63180000</v>
      </c>
      <c r="B25" t="inlineStr">
        <is>
          <t>FRAIS BANCAIRE D'OCTOBRE A DECEMBRE 2024</t>
        </is>
      </c>
      <c r="C25" s="3" t="n">
        <v>118672</v>
      </c>
      <c r="D25" s="3" t="n">
        <v>0</v>
      </c>
      <c r="E25" s="3">
        <f>MAX(0,C25-D25)</f>
        <v/>
      </c>
      <c r="F25" s="3">
        <f>MAX(0,D25-C25)</f>
        <v/>
      </c>
    </row>
    <row r="26">
      <c r="A26" t="n">
        <v>63240000</v>
      </c>
      <c r="B26" t="inlineStr">
        <is>
          <t>FACTURE 2BNC NøFA2BNC052 DE JANVIER 2025</t>
        </is>
      </c>
      <c r="C26" s="3" t="n">
        <v>2430934</v>
      </c>
      <c r="D26" s="3" t="n">
        <v>0</v>
      </c>
      <c r="E26" s="3">
        <f>MAX(0,C26-D26)</f>
        <v/>
      </c>
      <c r="F26" s="3">
        <f>MAX(0,D26-C26)</f>
        <v/>
      </c>
    </row>
    <row r="27">
      <c r="A27" t="n">
        <v>63840000</v>
      </c>
      <c r="B27" t="inlineStr">
        <is>
          <t>INTERCO/RECEPTION 1ER MAI 2025</t>
        </is>
      </c>
      <c r="C27" s="3" t="n">
        <v>41345</v>
      </c>
      <c r="D27" s="3" t="n">
        <v>0</v>
      </c>
      <c r="E27" s="3">
        <f>MAX(0,C27-D27)</f>
        <v/>
      </c>
      <c r="F27" s="3">
        <f>MAX(0,D27-C27)</f>
        <v/>
      </c>
    </row>
    <row r="28">
      <c r="A28" t="n">
        <v>64120000</v>
      </c>
      <c r="B28" t="inlineStr">
        <is>
          <t>INTERCO/PATENTE DU 24/02/2025</t>
        </is>
      </c>
      <c r="C28" s="3" t="n">
        <v>170000</v>
      </c>
      <c r="D28" s="3" t="n">
        <v>0</v>
      </c>
      <c r="E28" s="3">
        <f>MAX(0,C28-D28)</f>
        <v/>
      </c>
      <c r="F28" s="3">
        <f>MAX(0,D28-C28)</f>
        <v/>
      </c>
    </row>
    <row r="29">
      <c r="A29" t="n">
        <v>65880000</v>
      </c>
      <c r="B29" t="inlineStr">
        <is>
          <t>INTERCO/IMPRESSION T SHIRT 1ER MAI 2025</t>
        </is>
      </c>
      <c r="C29" s="3" t="n">
        <v>4600</v>
      </c>
      <c r="D29" s="3" t="n">
        <v>0</v>
      </c>
      <c r="E29" s="3">
        <f>MAX(0,C29-D29)</f>
        <v/>
      </c>
      <c r="F29" s="3">
        <f>MAX(0,D29-C29)</f>
        <v/>
      </c>
    </row>
    <row r="30">
      <c r="A30" t="n">
        <v>68130000</v>
      </c>
      <c r="B30" t="inlineStr">
        <is>
          <t>AMORTISSEMENT DU MATERIEL DE TRANSPORT/DE MARS A AOUT 2025/ 6 MOIS</t>
        </is>
      </c>
      <c r="C30" s="3" t="n">
        <v>2167638</v>
      </c>
      <c r="D30" s="3" t="n">
        <v>0</v>
      </c>
      <c r="E30" s="3">
        <f>MAX(0,C30-D30)</f>
        <v/>
      </c>
      <c r="F30" s="3">
        <f>MAX(0,D30-C30)</f>
        <v/>
      </c>
    </row>
    <row r="31">
      <c r="A31" t="n">
        <v>70610000</v>
      </c>
      <c r="B31" t="inlineStr">
        <is>
          <t>FACTURATION NOV 25</t>
        </is>
      </c>
      <c r="C31" s="3" t="n">
        <v>0</v>
      </c>
      <c r="D31" s="3" t="n">
        <v>421500</v>
      </c>
      <c r="E31" s="3">
        <f>MAX(0,C31-D31)</f>
        <v/>
      </c>
      <c r="F31" s="3">
        <f>MAX(0,D31-C31)</f>
        <v/>
      </c>
    </row>
    <row r="32">
      <c r="A32" t="n">
        <v>70720000</v>
      </c>
      <c r="B32" t="inlineStr">
        <is>
          <t>COM/LOYER</t>
        </is>
      </c>
      <c r="C32" s="3" t="n">
        <v>0</v>
      </c>
      <c r="D32" s="3" t="n">
        <v>5708150</v>
      </c>
      <c r="E32" s="3">
        <f>MAX(0,C32-D32)</f>
        <v/>
      </c>
      <c r="F32" s="3">
        <f>MAX(0,D32-C32)</f>
        <v/>
      </c>
    </row>
    <row r="33">
      <c r="A33" s="4" t="inlineStr"/>
      <c r="B33" s="4" t="inlineStr">
        <is>
          <t>TOTAL GÉNÉRAL</t>
        </is>
      </c>
      <c r="C33" s="5">
        <f>SUM(C4:C32)</f>
        <v/>
      </c>
      <c r="D33" s="5">
        <f>SUM(D4:D32)</f>
        <v/>
      </c>
      <c r="E33" s="5">
        <f>SUM(E4:E32)</f>
        <v/>
      </c>
      <c r="F33" s="5">
        <f>SUM(F4:F32)</f>
        <v/>
      </c>
    </row>
    <row r="35">
      <c r="A35" s="6" t="inlineStr">
        <is>
          <t>📄 Généré par 2BN CONSULTING le 03/12/2025 à 10:03:40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" customWidth="1" min="3" max="3"/>
    <col width="40" customWidth="1" min="4" max="4"/>
    <col width="18" customWidth="1" min="5" max="5"/>
  </cols>
  <sheetData>
    <row r="1">
      <c r="A1" s="7" t="inlineStr">
        <is>
          <t>ACTIF</t>
        </is>
      </c>
      <c r="B1" s="7" t="inlineStr"/>
      <c r="C1" s="8" t="inlineStr"/>
      <c r="D1" s="7" t="inlineStr">
        <is>
          <t>PASSIF</t>
        </is>
      </c>
      <c r="E1" s="7" t="inlineStr"/>
    </row>
    <row r="2">
      <c r="A2" t="inlineStr"/>
      <c r="B2" t="inlineStr"/>
      <c r="C2" t="inlineStr"/>
      <c r="D2" t="inlineStr"/>
      <c r="E2" t="inlineStr"/>
    </row>
    <row r="3">
      <c r="A3" s="9" t="inlineStr">
        <is>
          <t>IMMOBILISATIONS</t>
        </is>
      </c>
      <c r="B3" s="9" t="inlineStr"/>
      <c r="C3" t="inlineStr"/>
      <c r="D3" s="9" t="inlineStr">
        <is>
          <t>IMMOBILISATIONS</t>
        </is>
      </c>
      <c r="E3" s="9" t="inlineStr"/>
    </row>
    <row r="4">
      <c r="A4" s="10" t="inlineStr">
        <is>
          <t>IMMOBILISATIONS INCORPORELLES</t>
        </is>
      </c>
      <c r="B4" s="11" t="n">
        <v>99960</v>
      </c>
      <c r="C4" t="inlineStr"/>
      <c r="D4" s="10" t="inlineStr">
        <is>
          <t>CAPITAL SOCIAL</t>
        </is>
      </c>
      <c r="E4" s="11" t="n">
        <v>1000000</v>
      </c>
    </row>
    <row r="5">
      <c r="A5" s="12" t="inlineStr">
        <is>
          <t>AMORTISSEMENT DES IMMOBILISATIONS INCORPORELLES</t>
        </is>
      </c>
      <c r="B5" s="13" t="n">
        <v>0</v>
      </c>
      <c r="C5" t="inlineStr"/>
      <c r="D5" s="12" t="inlineStr">
        <is>
          <t>RAN</t>
        </is>
      </c>
      <c r="E5" s="13" t="n">
        <v>12124</v>
      </c>
    </row>
    <row r="6">
      <c r="A6" s="10" t="inlineStr">
        <is>
          <t>IMMOBILISATIONS CORPORELLES VALEURS BRUTES</t>
        </is>
      </c>
      <c r="B6" s="11" t="n">
        <v>16950911</v>
      </c>
      <c r="C6" t="inlineStr"/>
      <c r="D6" s="10" t="inlineStr">
        <is>
          <t>RESULTAT NET</t>
        </is>
      </c>
      <c r="E6" s="11" t="n">
        <v>1101589</v>
      </c>
    </row>
    <row r="7">
      <c r="A7" s="12" t="inlineStr">
        <is>
          <t>AMORTISSEMENT DES IMMOBILISATIONS CORPORELLES</t>
        </is>
      </c>
      <c r="B7" s="13" t="n">
        <v>-2167638</v>
      </c>
      <c r="C7" t="inlineStr"/>
      <c r="D7" s="12" t="inlineStr"/>
      <c r="E7" s="14" t="inlineStr"/>
    </row>
    <row r="8">
      <c r="A8" s="10" t="inlineStr">
        <is>
          <t>IMMOBILISATIONS FINANCIERES</t>
        </is>
      </c>
      <c r="B8" s="11" t="n">
        <v>0</v>
      </c>
      <c r="C8" t="inlineStr"/>
      <c r="D8" s="10" t="inlineStr"/>
      <c r="E8" s="15" t="inlineStr"/>
    </row>
    <row r="9">
      <c r="A9" t="inlineStr"/>
      <c r="B9" t="inlineStr"/>
      <c r="C9" t="inlineStr"/>
      <c r="D9" t="inlineStr"/>
      <c r="E9" t="inlineStr"/>
    </row>
    <row r="10">
      <c r="A10" s="9" t="inlineStr">
        <is>
          <t>STOCKS ET CRÉANCES</t>
        </is>
      </c>
      <c r="B10" s="9" t="inlineStr"/>
      <c r="C10" t="inlineStr"/>
      <c r="D10" s="9" t="inlineStr">
        <is>
          <t>STOCKS ET CRÉANCES</t>
        </is>
      </c>
      <c r="E10" s="9" t="inlineStr"/>
    </row>
    <row r="11">
      <c r="A11" s="10" t="inlineStr">
        <is>
          <t>STOCK</t>
        </is>
      </c>
      <c r="B11" s="11" t="n">
        <v>0</v>
      </c>
      <c r="C11" t="inlineStr"/>
      <c r="D11" s="10" t="inlineStr">
        <is>
          <t>DETTES FINANCIERES</t>
        </is>
      </c>
      <c r="E11" s="11" t="n">
        <v>0</v>
      </c>
    </row>
    <row r="12">
      <c r="A12" s="12" t="inlineStr">
        <is>
          <t>DEPRECIATION DES STOCKS</t>
        </is>
      </c>
      <c r="B12" s="13" t="n">
        <v>0</v>
      </c>
      <c r="C12" t="inlineStr"/>
      <c r="D12" s="12" t="inlineStr">
        <is>
          <t>FOURNISSEUR D'EXPLOITATION</t>
        </is>
      </c>
      <c r="E12" s="13" t="n">
        <v>600000</v>
      </c>
    </row>
    <row r="13">
      <c r="A13" s="10" t="inlineStr">
        <is>
          <t>FOURNISSEUR AVANCE VERSE</t>
        </is>
      </c>
      <c r="B13" s="11" t="n">
        <v>0</v>
      </c>
      <c r="C13" t="inlineStr"/>
      <c r="D13" s="10" t="inlineStr">
        <is>
          <t>DETTES SOCIALES</t>
        </is>
      </c>
      <c r="E13" s="11" t="n">
        <v>0</v>
      </c>
    </row>
    <row r="14">
      <c r="A14" s="12" t="inlineStr">
        <is>
          <t>FOURNISSEURS DEBITEURS</t>
        </is>
      </c>
      <c r="B14" s="13" t="n">
        <v>119900</v>
      </c>
      <c r="C14" t="inlineStr"/>
      <c r="D14" s="12" t="inlineStr">
        <is>
          <t>DETTES FISCALES</t>
        </is>
      </c>
      <c r="E14" s="13" t="n">
        <v>550956</v>
      </c>
    </row>
    <row r="15">
      <c r="A15" s="10" t="inlineStr">
        <is>
          <t>CREANCES CLIENTS</t>
        </is>
      </c>
      <c r="B15" s="11" t="n">
        <v>0</v>
      </c>
      <c r="C15" t="inlineStr"/>
      <c r="D15" s="10" t="inlineStr">
        <is>
          <t>AUTRES DETTES</t>
        </is>
      </c>
      <c r="E15" s="11" t="n">
        <v>16339778</v>
      </c>
    </row>
    <row r="16">
      <c r="A16" s="12" t="inlineStr">
        <is>
          <t>AUTRES CREANCES</t>
        </is>
      </c>
      <c r="B16" s="13" t="n">
        <v>500000</v>
      </c>
      <c r="C16" t="inlineStr"/>
      <c r="D16" s="12" t="inlineStr">
        <is>
          <t>CREDITEURS DIVERS</t>
        </is>
      </c>
      <c r="E16" s="13" t="n">
        <v>0</v>
      </c>
    </row>
    <row r="17">
      <c r="A17" s="10" t="inlineStr">
        <is>
          <t>DEBITEURS DIVERS</t>
        </is>
      </c>
      <c r="B17" s="11" t="n">
        <v>150000</v>
      </c>
      <c r="C17" t="inlineStr"/>
      <c r="D17" s="10" t="inlineStr">
        <is>
          <t>FOURNISSEUR D'INVESTISSEMENT</t>
        </is>
      </c>
      <c r="E17" s="11" t="n">
        <v>0</v>
      </c>
    </row>
    <row r="18">
      <c r="A18" t="inlineStr"/>
      <c r="B18" t="inlineStr"/>
      <c r="C18" t="inlineStr"/>
      <c r="D18" t="inlineStr"/>
      <c r="E18" t="inlineStr"/>
    </row>
    <row r="19">
      <c r="A19" s="9" t="inlineStr">
        <is>
          <t>TRÉSORERIE</t>
        </is>
      </c>
      <c r="B19" s="9" t="inlineStr"/>
      <c r="C19" t="inlineStr"/>
      <c r="D19" s="9" t="inlineStr">
        <is>
          <t>TRÉSORERIE</t>
        </is>
      </c>
      <c r="E19" s="9" t="inlineStr"/>
    </row>
    <row r="20">
      <c r="A20" s="10" t="inlineStr">
        <is>
          <t>BANQUES</t>
        </is>
      </c>
      <c r="B20" s="11" t="n">
        <v>4035636</v>
      </c>
      <c r="C20" t="inlineStr"/>
      <c r="D20" s="10" t="inlineStr">
        <is>
          <t>DECOUVERTS</t>
        </is>
      </c>
      <c r="E20" s="11" t="n">
        <v>84322</v>
      </c>
    </row>
    <row r="21">
      <c r="A21" s="12" t="inlineStr">
        <is>
          <t>CHEQUE POSTAUX</t>
        </is>
      </c>
      <c r="B21" s="13" t="n">
        <v>0</v>
      </c>
      <c r="C21" t="inlineStr"/>
      <c r="D21" s="12" t="inlineStr"/>
      <c r="E21" s="14" t="inlineStr"/>
    </row>
    <row r="22">
      <c r="A22" s="10" t="inlineStr">
        <is>
          <t>MONNAIE ELECTRONIQUE</t>
        </is>
      </c>
      <c r="B22" s="11" t="n">
        <v>0</v>
      </c>
      <c r="C22" t="inlineStr"/>
      <c r="D22" s="10" t="inlineStr"/>
      <c r="E22" s="15" t="inlineStr"/>
    </row>
    <row r="23">
      <c r="A23" s="12" t="inlineStr">
        <is>
          <t>CAISSE</t>
        </is>
      </c>
      <c r="B23" s="13" t="n">
        <v>0</v>
      </c>
      <c r="C23" t="inlineStr"/>
      <c r="D23" s="12" t="inlineStr"/>
      <c r="E23" s="14" t="inlineStr"/>
    </row>
    <row r="24">
      <c r="A24" s="10" t="inlineStr">
        <is>
          <t>VIREMENT INTERNE</t>
        </is>
      </c>
      <c r="B24" s="11" t="n">
        <v>0</v>
      </c>
      <c r="C24" t="inlineStr"/>
      <c r="D24" s="10" t="inlineStr"/>
      <c r="E24" s="15" t="inlineStr"/>
    </row>
    <row r="25">
      <c r="A25" t="inlineStr"/>
      <c r="B25" t="inlineStr"/>
      <c r="C25" t="inlineStr"/>
      <c r="D25" t="inlineStr"/>
      <c r="E25" t="inlineStr"/>
    </row>
    <row r="26">
      <c r="A26" s="16" t="inlineStr">
        <is>
          <t>TOTAL ACTIF</t>
        </is>
      </c>
      <c r="B26" s="17" t="n">
        <v>19688769</v>
      </c>
      <c r="C26" s="8" t="inlineStr"/>
      <c r="D26" s="16" t="inlineStr">
        <is>
          <t>TOTAL PASSIF</t>
        </is>
      </c>
      <c r="E26" s="17" t="n">
        <v>19688769</v>
      </c>
    </row>
    <row r="27">
      <c r="A27" t="inlineStr">
        <is>
          <t>Bilan synthétique préparé pour présentation PowerPoint</t>
        </is>
      </c>
      <c r="B27" t="inlineStr"/>
      <c r="C27" t="inlineStr"/>
      <c r="D27" t="inlineStr"/>
      <c r="E27" t="inlineStr"/>
    </row>
    <row r="28">
      <c r="A28" s="18" t="n"/>
    </row>
    <row r="29">
      <c r="A29" s="19" t="inlineStr">
        <is>
          <t>Bilan équilibré</t>
        </is>
      </c>
      <c r="B29" t="inlineStr"/>
      <c r="C29" t="inlineStr"/>
      <c r="D29" t="inlineStr"/>
      <c r="E29" t="inlineStr"/>
    </row>
    <row r="31">
      <c r="A31" s="6" t="inlineStr">
        <is>
          <t>📄 Généré par 2BN CONSULTING le 03/12/2025 à 10:03:40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15" customWidth="1" min="4" max="4"/>
  </cols>
  <sheetData>
    <row r="1">
      <c r="A1" s="20" t="inlineStr">
        <is>
          <t>CHARGES</t>
        </is>
      </c>
      <c r="B1" s="20" t="inlineStr">
        <is>
          <t>MONTANTS</t>
        </is>
      </c>
      <c r="C1" s="20" t="inlineStr">
        <is>
          <t>PRODUITS</t>
        </is>
      </c>
      <c r="D1" s="20" t="inlineStr">
        <is>
          <t>MONTANTS</t>
        </is>
      </c>
    </row>
    <row r="2">
      <c r="A2" t="inlineStr">
        <is>
          <t>Achats de marchandises, de matières &amp; fournitures liées</t>
        </is>
      </c>
      <c r="B2" t="n">
        <v>0</v>
      </c>
      <c r="C2" t="inlineStr">
        <is>
          <t>Ventes de marchandises</t>
        </is>
      </c>
      <c r="D2" t="n">
        <v>0</v>
      </c>
    </row>
    <row r="3">
      <c r="A3" t="inlineStr">
        <is>
          <t>Variation de stock de marchandises</t>
        </is>
      </c>
      <c r="B3" t="n">
        <v>0</v>
      </c>
      <c r="C3" t="inlineStr">
        <is>
          <t>Ventes de produits fabrique</t>
        </is>
      </c>
      <c r="D3" t="n">
        <v>0</v>
      </c>
    </row>
    <row r="4">
      <c r="A4" t="inlineStr">
        <is>
          <t>Autres achats</t>
        </is>
      </c>
      <c r="B4" s="21" t="n">
        <v>94872</v>
      </c>
      <c r="C4" t="inlineStr">
        <is>
          <t>Travaux, service vendus</t>
        </is>
      </c>
      <c r="D4" s="21" t="n">
        <v>421500</v>
      </c>
    </row>
    <row r="5">
      <c r="A5" t="inlineStr">
        <is>
          <t>Transports</t>
        </is>
      </c>
      <c r="B5" t="n">
        <v>0</v>
      </c>
      <c r="C5" t="inlineStr">
        <is>
          <t>Produit accessoirs</t>
        </is>
      </c>
      <c r="D5" s="21" t="n">
        <v>5708150</v>
      </c>
    </row>
    <row r="6">
      <c r="A6" t="inlineStr">
        <is>
          <t>Services exterieurs</t>
        </is>
      </c>
      <c r="B6" s="21" t="n">
        <v>2590951</v>
      </c>
      <c r="C6" t="inlineStr">
        <is>
          <t>Subvention d'exploitation</t>
        </is>
      </c>
      <c r="D6" t="n">
        <v>0</v>
      </c>
    </row>
    <row r="7">
      <c r="A7" t="inlineStr">
        <is>
          <t>Impots &amp; taxes</t>
        </is>
      </c>
      <c r="B7" s="21" t="n">
        <v>170000</v>
      </c>
      <c r="C7" t="inlineStr">
        <is>
          <t>Produit immobilisé</t>
        </is>
      </c>
      <c r="D7" t="n">
        <v>0</v>
      </c>
    </row>
    <row r="8">
      <c r="A8" t="inlineStr">
        <is>
          <t>Charges du personnel</t>
        </is>
      </c>
      <c r="B8" t="n">
        <v>0</v>
      </c>
      <c r="C8" t="inlineStr">
        <is>
          <t>Production stocké</t>
        </is>
      </c>
      <c r="D8" t="n">
        <v>0</v>
      </c>
    </row>
    <row r="9">
      <c r="A9" t="inlineStr">
        <is>
          <t>Autres charges</t>
        </is>
      </c>
      <c r="B9" s="21" t="n">
        <v>4600</v>
      </c>
      <c r="C9" t="inlineStr">
        <is>
          <t>Autres produits (Accessoires)</t>
        </is>
      </c>
      <c r="D9" t="n">
        <v>0</v>
      </c>
    </row>
    <row r="10">
      <c r="A10" t="inlineStr">
        <is>
          <t>Dotations aux amortissements</t>
        </is>
      </c>
      <c r="B10" s="21" t="n">
        <v>2167638</v>
      </c>
      <c r="C10" t="inlineStr">
        <is>
          <t>Transfert de charges</t>
        </is>
      </c>
      <c r="D10" t="n">
        <v>0</v>
      </c>
    </row>
    <row r="11">
      <c r="A11" t="inlineStr">
        <is>
          <t>Participations des travailleurs</t>
        </is>
      </c>
      <c r="B11" t="n">
        <v>0</v>
      </c>
      <c r="C11" t="inlineStr">
        <is>
          <t>Reprise</t>
        </is>
      </c>
      <c r="D11" t="n">
        <v>0</v>
      </c>
    </row>
    <row r="12">
      <c r="A12" t="inlineStr"/>
      <c r="B12" t="inlineStr"/>
      <c r="C12" t="inlineStr">
        <is>
          <t>Reprise de charges</t>
        </is>
      </c>
      <c r="D12" t="n">
        <v>0</v>
      </c>
    </row>
    <row r="13">
      <c r="A13" t="inlineStr"/>
      <c r="B13" t="inlineStr"/>
      <c r="C13" t="inlineStr">
        <is>
          <t>Subventions d'equilibre</t>
        </is>
      </c>
      <c r="D13" t="n">
        <v>0</v>
      </c>
    </row>
    <row r="14">
      <c r="A14" t="inlineStr"/>
      <c r="B14" t="inlineStr"/>
      <c r="C14" t="inlineStr"/>
      <c r="D14" t="inlineStr"/>
    </row>
    <row r="15">
      <c r="A15" t="inlineStr">
        <is>
          <t>Frais financiers</t>
        </is>
      </c>
      <c r="B15" t="n">
        <v>0</v>
      </c>
      <c r="C15" t="inlineStr"/>
      <c r="D15" t="inlineStr"/>
    </row>
    <row r="16">
      <c r="A16" t="inlineStr">
        <is>
          <t>Valeur comptables des cessions d'immobilisations</t>
        </is>
      </c>
      <c r="B16" t="n">
        <v>0</v>
      </c>
      <c r="C16" t="inlineStr">
        <is>
          <t>Produit des cessions d'immobilisations</t>
        </is>
      </c>
      <c r="D16" t="n">
        <v>0</v>
      </c>
    </row>
    <row r="17">
      <c r="A17" t="inlineStr">
        <is>
          <t>Charges hors activité ordinaires</t>
        </is>
      </c>
      <c r="B17" t="n">
        <v>0</v>
      </c>
      <c r="C17" t="inlineStr">
        <is>
          <t>Produit hors activité ordinaires</t>
        </is>
      </c>
      <c r="D17" t="n">
        <v>0</v>
      </c>
    </row>
    <row r="18">
      <c r="A18" t="inlineStr">
        <is>
          <t>Dotations HAO</t>
        </is>
      </c>
      <c r="B18" t="n">
        <v>0</v>
      </c>
      <c r="C18" t="inlineStr"/>
      <c r="D18" t="inlineStr"/>
    </row>
    <row r="19">
      <c r="A19" t="inlineStr"/>
      <c r="B19" t="inlineStr"/>
      <c r="C19" t="inlineStr"/>
      <c r="D19" t="inlineStr"/>
    </row>
    <row r="20">
      <c r="A20" s="22" t="inlineStr">
        <is>
          <t>Charges d'exploitation</t>
        </is>
      </c>
      <c r="B20" s="23" t="n">
        <v>5028061</v>
      </c>
      <c r="C20" s="22" t="inlineStr">
        <is>
          <t>Produits d'exploitation</t>
        </is>
      </c>
      <c r="D20" s="23" t="n">
        <v>6129650</v>
      </c>
    </row>
    <row r="21">
      <c r="A21" s="24" t="inlineStr">
        <is>
          <t>Resultat - Net Profit (+)</t>
        </is>
      </c>
      <c r="B21" s="25" t="n">
        <v>1101589</v>
      </c>
      <c r="C21" s="24" t="inlineStr">
        <is>
          <t>Resultat - Net Loss (-)</t>
        </is>
      </c>
      <c r="D21" s="25" t="n">
        <v>0</v>
      </c>
    </row>
    <row r="22">
      <c r="A22" t="inlineStr"/>
      <c r="B22" t="inlineStr"/>
      <c r="C22" t="inlineStr"/>
      <c r="D22" t="inlineStr"/>
    </row>
    <row r="23">
      <c r="A23" s="26" t="inlineStr">
        <is>
          <t>TOTAL CHARGES</t>
        </is>
      </c>
      <c r="B23" s="27" t="n">
        <v>6129650</v>
      </c>
      <c r="C23" s="26" t="inlineStr">
        <is>
          <t>TOTAL PRODUITS</t>
        </is>
      </c>
      <c r="D23" s="27" t="n">
        <v>6129650</v>
      </c>
    </row>
    <row r="25">
      <c r="A25" s="6" t="inlineStr">
        <is>
          <t>📄 Généré par 2BN CONSULTING le 03/12/2025 à 10:03:40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Soldes intermédiaires de gestion (SIG)</t>
        </is>
      </c>
      <c r="B1" s="1" t="inlineStr"/>
      <c r="C1" s="1" t="inlineStr"/>
      <c r="D1" s="1" t="inlineStr"/>
      <c r="E1" s="1" t="inlineStr"/>
      <c r="F1" s="1" t="inlineStr"/>
    </row>
    <row r="2"/>
    <row r="3">
      <c r="A3" s="1" t="e">
        <v>#NAME?</v>
      </c>
      <c r="B3" s="1" t="inlineStr">
        <is>
          <t>LIBELLES</t>
        </is>
      </c>
      <c r="C3" s="1" t="inlineStr"/>
      <c r="D3" s="1" t="inlineStr"/>
      <c r="E3" s="1" t="inlineStr">
        <is>
          <t>EXERCICE AU 30/09/2025</t>
        </is>
      </c>
      <c r="F3" s="1" t="inlineStr">
        <is>
          <t xml:space="preserve">EXERCICE </t>
        </is>
      </c>
    </row>
    <row r="4">
      <c r="A4" s="1" t="inlineStr"/>
      <c r="B4" s="1" t="inlineStr"/>
      <c r="C4" s="1" t="inlineStr"/>
      <c r="D4" s="1" t="inlineStr"/>
      <c r="E4" s="1" t="inlineStr">
        <is>
          <t>NET</t>
        </is>
      </c>
      <c r="F4" s="1" t="inlineStr">
        <is>
          <t>NET</t>
        </is>
      </c>
    </row>
    <row r="5">
      <c r="A5" t="inlineStr">
        <is>
          <t>TA</t>
        </is>
      </c>
      <c r="B5" t="inlineStr">
        <is>
          <t>Ventes de marchandises</t>
        </is>
      </c>
      <c r="C5" t="inlineStr">
        <is>
          <t>A</t>
        </is>
      </c>
      <c r="D5" t="inlineStr">
        <is>
          <t>+</t>
        </is>
      </c>
      <c r="E5" s="3" t="n">
        <v>0</v>
      </c>
      <c r="F5" t="n">
        <v>0</v>
      </c>
    </row>
    <row r="6">
      <c r="A6" t="inlineStr">
        <is>
          <t>RA</t>
        </is>
      </c>
      <c r="B6" t="inlineStr">
        <is>
          <t>Achats de marchandises</t>
        </is>
      </c>
      <c r="C6" t="inlineStr"/>
      <c r="D6" t="inlineStr">
        <is>
          <t>-</t>
        </is>
      </c>
      <c r="E6" s="3" t="n">
        <v>0</v>
      </c>
      <c r="F6" t="n">
        <v>0</v>
      </c>
    </row>
    <row r="7">
      <c r="A7" t="inlineStr">
        <is>
          <t>RB</t>
        </is>
      </c>
      <c r="B7" t="inlineStr">
        <is>
          <t>Variation de stocks de marchandises</t>
        </is>
      </c>
      <c r="C7" t="inlineStr"/>
      <c r="D7" t="inlineStr">
        <is>
          <t>-/+</t>
        </is>
      </c>
      <c r="E7" s="3" t="n">
        <v>0</v>
      </c>
      <c r="F7" t="n">
        <v>0</v>
      </c>
    </row>
    <row r="8">
      <c r="A8" s="4" t="inlineStr">
        <is>
          <t>XA</t>
        </is>
      </c>
      <c r="B8" s="4" t="inlineStr">
        <is>
          <t>MARGE COMMERCIALE  (somme TA à RB)</t>
        </is>
      </c>
      <c r="C8" s="4" t="inlineStr"/>
      <c r="D8" s="4" t="inlineStr"/>
      <c r="E8" s="5" t="n">
        <v>0</v>
      </c>
      <c r="F8" s="4" t="n">
        <v>0</v>
      </c>
    </row>
    <row r="9">
      <c r="A9" t="inlineStr">
        <is>
          <t>TB</t>
        </is>
      </c>
      <c r="B9" t="inlineStr">
        <is>
          <t>Ventes de produits fabriqués</t>
        </is>
      </c>
      <c r="C9" t="inlineStr">
        <is>
          <t>B</t>
        </is>
      </c>
      <c r="D9" t="inlineStr">
        <is>
          <t>+</t>
        </is>
      </c>
      <c r="E9" s="3" t="n">
        <v>0</v>
      </c>
      <c r="F9" t="n">
        <v>0</v>
      </c>
    </row>
    <row r="10">
      <c r="A10" t="inlineStr">
        <is>
          <t>TC</t>
        </is>
      </c>
      <c r="B10" t="inlineStr">
        <is>
          <t>Travaux, services vendus</t>
        </is>
      </c>
      <c r="C10" t="inlineStr">
        <is>
          <t>C</t>
        </is>
      </c>
      <c r="D10" t="inlineStr">
        <is>
          <t>+</t>
        </is>
      </c>
      <c r="E10" s="3" t="n">
        <v>0</v>
      </c>
      <c r="F10" t="n">
        <v>0</v>
      </c>
    </row>
    <row r="11">
      <c r="A11" t="inlineStr">
        <is>
          <t>TD</t>
        </is>
      </c>
      <c r="B11" t="inlineStr">
        <is>
          <t>Commissions &amp; courtages</t>
        </is>
      </c>
      <c r="C11" t="inlineStr">
        <is>
          <t>D</t>
        </is>
      </c>
      <c r="D11" t="inlineStr">
        <is>
          <t>+</t>
        </is>
      </c>
      <c r="E11" s="3" t="n">
        <v>5708150</v>
      </c>
      <c r="F11" t="n">
        <v>0</v>
      </c>
    </row>
    <row r="12">
      <c r="A12" s="4" t="inlineStr">
        <is>
          <t>XB</t>
        </is>
      </c>
      <c r="B12" s="4" t="inlineStr">
        <is>
          <t>CHIFFRE D'AFFAIRES (A+B+C+D)</t>
        </is>
      </c>
      <c r="C12" s="4" t="inlineStr"/>
      <c r="D12" s="4" t="inlineStr"/>
      <c r="E12" s="5" t="n">
        <v>6129650</v>
      </c>
      <c r="F12" s="4" t="n">
        <v>0</v>
      </c>
    </row>
    <row r="13">
      <c r="A13" t="inlineStr">
        <is>
          <t>TE</t>
        </is>
      </c>
      <c r="B13" t="inlineStr">
        <is>
          <t>Production stockée</t>
        </is>
      </c>
      <c r="C13" t="inlineStr"/>
      <c r="D13" t="inlineStr">
        <is>
          <t>-/+</t>
        </is>
      </c>
      <c r="E13" s="3" t="n">
        <v>0</v>
      </c>
      <c r="F13" t="n">
        <v>0</v>
      </c>
    </row>
    <row r="14">
      <c r="A14" t="inlineStr">
        <is>
          <t>TG</t>
        </is>
      </c>
      <c r="B14" t="inlineStr">
        <is>
          <t>Subventions d'exploitation</t>
        </is>
      </c>
      <c r="C14" t="inlineStr"/>
      <c r="D14" t="inlineStr">
        <is>
          <t>+</t>
        </is>
      </c>
      <c r="E14" s="3" t="n">
        <v>0</v>
      </c>
      <c r="F14" t="n">
        <v>0</v>
      </c>
    </row>
    <row r="15">
      <c r="A15" t="inlineStr">
        <is>
          <t>TH</t>
        </is>
      </c>
      <c r="B15" t="inlineStr">
        <is>
          <t>Autres produits</t>
        </is>
      </c>
      <c r="C15" t="inlineStr"/>
      <c r="D15" t="inlineStr">
        <is>
          <t>+</t>
        </is>
      </c>
      <c r="E15" s="3" t="n">
        <v>0</v>
      </c>
      <c r="F15" t="n">
        <v>0</v>
      </c>
    </row>
    <row r="16">
      <c r="A16" t="inlineStr">
        <is>
          <t>RC</t>
        </is>
      </c>
      <c r="B16" t="inlineStr">
        <is>
          <t>Achats de matieres premières et fournitures liées</t>
        </is>
      </c>
      <c r="C16" t="inlineStr"/>
      <c r="D16" t="inlineStr">
        <is>
          <t>-</t>
        </is>
      </c>
      <c r="E16" s="3" t="n">
        <v>0</v>
      </c>
      <c r="F16" t="n">
        <v>0</v>
      </c>
    </row>
    <row r="17">
      <c r="A17" t="inlineStr">
        <is>
          <t>RD</t>
        </is>
      </c>
      <c r="B17" t="inlineStr">
        <is>
          <t>Variation de stock de matières premieres &amp; fournitures liées</t>
        </is>
      </c>
      <c r="C17" t="inlineStr"/>
      <c r="D17" t="inlineStr">
        <is>
          <t>-/+</t>
        </is>
      </c>
      <c r="E17" s="3" t="n">
        <v>0</v>
      </c>
      <c r="F17" t="n">
        <v>0</v>
      </c>
    </row>
    <row r="18">
      <c r="A18" t="inlineStr">
        <is>
          <t>RE</t>
        </is>
      </c>
      <c r="B18" t="inlineStr">
        <is>
          <t xml:space="preserve">Autres achats </t>
        </is>
      </c>
      <c r="C18" t="inlineStr"/>
      <c r="D18" t="inlineStr">
        <is>
          <t>-</t>
        </is>
      </c>
      <c r="E18" s="3" t="n">
        <v>0</v>
      </c>
      <c r="F18" t="n">
        <v>0</v>
      </c>
    </row>
    <row r="19">
      <c r="A19" t="inlineStr">
        <is>
          <t>RF</t>
        </is>
      </c>
      <c r="B19" t="inlineStr">
        <is>
          <t>Variation de stocks d'autres approvisionements</t>
        </is>
      </c>
      <c r="C19" t="inlineStr"/>
      <c r="D19" t="inlineStr">
        <is>
          <t>-/+</t>
        </is>
      </c>
      <c r="E19" s="3" t="n">
        <v>0</v>
      </c>
      <c r="F19" t="n">
        <v>0</v>
      </c>
    </row>
    <row r="20">
      <c r="A20" t="inlineStr">
        <is>
          <t>RG</t>
        </is>
      </c>
      <c r="B20" t="inlineStr">
        <is>
          <t>Transports</t>
        </is>
      </c>
      <c r="C20" t="inlineStr"/>
      <c r="D20" t="inlineStr">
        <is>
          <t>-</t>
        </is>
      </c>
      <c r="E20" s="3" t="n">
        <v>0</v>
      </c>
      <c r="F20" t="n">
        <v>0</v>
      </c>
    </row>
    <row r="21">
      <c r="A21" t="inlineStr">
        <is>
          <t>RH</t>
        </is>
      </c>
      <c r="B21" t="inlineStr">
        <is>
          <t>Services exterieurs</t>
        </is>
      </c>
      <c r="C21" t="inlineStr"/>
      <c r="D21" t="inlineStr">
        <is>
          <t>-</t>
        </is>
      </c>
      <c r="E21" s="3" t="n">
        <v>-2590951</v>
      </c>
      <c r="F21" t="n">
        <v>0</v>
      </c>
    </row>
    <row r="22">
      <c r="A22" t="inlineStr">
        <is>
          <t>RI</t>
        </is>
      </c>
      <c r="B22" t="inlineStr">
        <is>
          <t>Impots et taxes</t>
        </is>
      </c>
      <c r="C22" t="inlineStr"/>
      <c r="D22" t="inlineStr">
        <is>
          <t>-</t>
        </is>
      </c>
      <c r="E22" s="3" t="n">
        <v>-170000</v>
      </c>
      <c r="F22" t="n">
        <v>0</v>
      </c>
    </row>
    <row r="23">
      <c r="A23" t="inlineStr">
        <is>
          <t>RJ</t>
        </is>
      </c>
      <c r="B23" t="inlineStr">
        <is>
          <t>Autres charges</t>
        </is>
      </c>
      <c r="C23" t="inlineStr"/>
      <c r="D23" t="inlineStr">
        <is>
          <t>-</t>
        </is>
      </c>
      <c r="E23" s="3" t="n">
        <v>-4600</v>
      </c>
      <c r="F23" t="n">
        <v>0</v>
      </c>
    </row>
    <row r="24">
      <c r="A24" s="4" t="inlineStr">
        <is>
          <t>XC</t>
        </is>
      </c>
      <c r="B24" s="4" t="inlineStr">
        <is>
          <t>VALEUR AJOUTÉE (XB+RA+RB) +(somme TE à RI)</t>
        </is>
      </c>
      <c r="C24" s="4" t="inlineStr"/>
      <c r="D24" s="4" t="inlineStr"/>
      <c r="E24" s="5" t="n">
        <v>3538699</v>
      </c>
      <c r="F24" s="4" t="n">
        <v>0</v>
      </c>
    </row>
    <row r="25">
      <c r="A25" t="inlineStr">
        <is>
          <t>RK</t>
        </is>
      </c>
      <c r="B25" t="inlineStr">
        <is>
          <t xml:space="preserve">Charges du personnel </t>
        </is>
      </c>
      <c r="C25" t="inlineStr"/>
      <c r="D25" t="inlineStr">
        <is>
          <t>-</t>
        </is>
      </c>
      <c r="E25" s="3" t="n">
        <v>-0</v>
      </c>
      <c r="F25" t="n">
        <v>0</v>
      </c>
    </row>
    <row r="26">
      <c r="A26" s="4" t="inlineStr">
        <is>
          <t>XD</t>
        </is>
      </c>
      <c r="B26" s="4" t="inlineStr">
        <is>
          <t>EXCÉDENT BRUT D'EXPLOITATION (XC+RK)</t>
        </is>
      </c>
      <c r="C26" s="4" t="inlineStr"/>
      <c r="D26" s="4" t="inlineStr"/>
      <c r="E26" s="5" t="n">
        <v>3368699</v>
      </c>
      <c r="F26" s="4" t="n">
        <v>0</v>
      </c>
    </row>
    <row r="27">
      <c r="A27" t="inlineStr">
        <is>
          <t>TJ</t>
        </is>
      </c>
      <c r="B27" t="inlineStr">
        <is>
          <t>Reprises d'amortissments, de provisions et dépréciations</t>
        </is>
      </c>
      <c r="C27" t="inlineStr"/>
      <c r="D27" t="inlineStr">
        <is>
          <t>+</t>
        </is>
      </c>
      <c r="E27" s="3" t="n">
        <v>0</v>
      </c>
      <c r="F27" t="n">
        <v>0</v>
      </c>
    </row>
    <row r="28">
      <c r="A28" t="inlineStr">
        <is>
          <t>RL</t>
        </is>
      </c>
      <c r="B28" t="inlineStr">
        <is>
          <t>Dotations aux amortissements, aux provisions et dépréciations</t>
        </is>
      </c>
      <c r="C28" t="inlineStr"/>
      <c r="D28" t="inlineStr">
        <is>
          <t>-</t>
        </is>
      </c>
      <c r="E28" s="3" t="n">
        <v>-2167638</v>
      </c>
      <c r="F28" t="n">
        <v>0</v>
      </c>
    </row>
    <row r="29">
      <c r="A29" s="4" t="inlineStr">
        <is>
          <t>XE</t>
        </is>
      </c>
      <c r="B29" s="4" t="inlineStr">
        <is>
          <t>RÉSULTAT D'EXPLOITATION (XD+TJ+RL)</t>
        </is>
      </c>
      <c r="C29" s="4" t="inlineStr"/>
      <c r="D29" s="4" t="inlineStr"/>
      <c r="E29" s="5" t="n">
        <v>1201061</v>
      </c>
      <c r="F29" s="4" t="n">
        <v>0</v>
      </c>
    </row>
    <row r="30">
      <c r="A30" t="inlineStr">
        <is>
          <t>TK</t>
        </is>
      </c>
      <c r="B30" t="inlineStr">
        <is>
          <t>Revenus financiers et assimilés</t>
        </is>
      </c>
      <c r="C30" t="inlineStr"/>
      <c r="D30" t="inlineStr">
        <is>
          <t>+</t>
        </is>
      </c>
      <c r="E30" s="3" t="n">
        <v>0</v>
      </c>
      <c r="F30" t="n">
        <v>0</v>
      </c>
    </row>
    <row r="31">
      <c r="A31" t="inlineStr">
        <is>
          <t>TL</t>
        </is>
      </c>
      <c r="B31" t="inlineStr">
        <is>
          <t xml:space="preserve">Reprises de provisions et dépréciations financieres </t>
        </is>
      </c>
      <c r="C31" t="inlineStr"/>
      <c r="D31" t="inlineStr">
        <is>
          <t>+</t>
        </is>
      </c>
      <c r="E31" s="3" t="n">
        <v>0</v>
      </c>
      <c r="F31" t="n">
        <v>0</v>
      </c>
    </row>
    <row r="32">
      <c r="A32" t="inlineStr">
        <is>
          <t>TM</t>
        </is>
      </c>
      <c r="B32" t="inlineStr">
        <is>
          <t xml:space="preserve">Transferts de charges financieres </t>
        </is>
      </c>
      <c r="C32" t="inlineStr"/>
      <c r="D32" t="inlineStr">
        <is>
          <t>+</t>
        </is>
      </c>
      <c r="E32" s="3" t="n">
        <v>0</v>
      </c>
      <c r="F32" t="n">
        <v>0</v>
      </c>
    </row>
    <row r="33">
      <c r="A33" t="inlineStr">
        <is>
          <t>RM</t>
        </is>
      </c>
      <c r="B33" t="inlineStr">
        <is>
          <t xml:space="preserve">Frais finaciers et charges Assimilés </t>
        </is>
      </c>
      <c r="C33" t="inlineStr"/>
      <c r="D33" t="inlineStr">
        <is>
          <t>-</t>
        </is>
      </c>
      <c r="E33" s="3" t="n">
        <v>-0</v>
      </c>
      <c r="F33" t="n">
        <v>0</v>
      </c>
    </row>
    <row r="34">
      <c r="A34" t="inlineStr">
        <is>
          <t>RN</t>
        </is>
      </c>
      <c r="B34" t="inlineStr">
        <is>
          <t>Dotations aux provisions et aux dépréciations finacières</t>
        </is>
      </c>
      <c r="C34" t="inlineStr"/>
      <c r="D34" t="inlineStr">
        <is>
          <t>-</t>
        </is>
      </c>
      <c r="E34" s="3" t="n">
        <v>0</v>
      </c>
      <c r="F34" t="n">
        <v>0</v>
      </c>
    </row>
    <row r="35">
      <c r="A35" s="4" t="inlineStr">
        <is>
          <t>XF</t>
        </is>
      </c>
      <c r="B35" s="4" t="inlineStr">
        <is>
          <t>RÉSULTAT FINANCIER ( somme TK à RN)</t>
        </is>
      </c>
      <c r="C35" s="4" t="inlineStr"/>
      <c r="D35" s="4" t="inlineStr"/>
      <c r="E35" s="5" t="n">
        <v>-0</v>
      </c>
      <c r="F35" s="4" t="n">
        <v>0</v>
      </c>
    </row>
    <row r="36">
      <c r="A36" s="4" t="inlineStr">
        <is>
          <t>XG</t>
        </is>
      </c>
      <c r="B36" s="4" t="inlineStr">
        <is>
          <t>RESULTAT DES ACTIVITES ORDINAIRES (XE+XF)</t>
        </is>
      </c>
      <c r="C36" s="4" t="inlineStr"/>
      <c r="D36" s="4" t="inlineStr"/>
      <c r="E36" s="5" t="n">
        <v>1201061</v>
      </c>
      <c r="F36" s="4" t="n">
        <v>0</v>
      </c>
    </row>
    <row r="37">
      <c r="A37" t="inlineStr">
        <is>
          <t>TN</t>
        </is>
      </c>
      <c r="B37" t="inlineStr">
        <is>
          <t>Produits des cessions d'immobilisations</t>
        </is>
      </c>
      <c r="C37" t="inlineStr"/>
      <c r="D37" t="inlineStr">
        <is>
          <t>+</t>
        </is>
      </c>
      <c r="E37" s="3" t="n">
        <v>0</v>
      </c>
      <c r="F37" t="n">
        <v>0</v>
      </c>
    </row>
    <row r="38">
      <c r="A38" t="inlineStr">
        <is>
          <t>TO</t>
        </is>
      </c>
      <c r="B38" t="inlineStr">
        <is>
          <t>Autres produits HAO</t>
        </is>
      </c>
      <c r="C38" t="inlineStr"/>
      <c r="D38" t="inlineStr">
        <is>
          <t>+</t>
        </is>
      </c>
      <c r="E38" s="3" t="n">
        <v>0</v>
      </c>
      <c r="F38" t="n">
        <v>0</v>
      </c>
    </row>
    <row r="39">
      <c r="A39" t="inlineStr">
        <is>
          <t>RO</t>
        </is>
      </c>
      <c r="B39" t="inlineStr">
        <is>
          <t>Valeurs comptables des cessions d'immobilisations</t>
        </is>
      </c>
      <c r="C39" t="inlineStr"/>
      <c r="D39" t="inlineStr">
        <is>
          <t>-</t>
        </is>
      </c>
      <c r="E39" s="3" t="n">
        <v>0</v>
      </c>
      <c r="F39" t="n">
        <v>0</v>
      </c>
    </row>
    <row r="40">
      <c r="A40" t="inlineStr">
        <is>
          <t>RP</t>
        </is>
      </c>
      <c r="B40" t="inlineStr">
        <is>
          <t>Autres charges HAO</t>
        </is>
      </c>
      <c r="C40" t="inlineStr"/>
      <c r="D40" t="inlineStr">
        <is>
          <t>-</t>
        </is>
      </c>
      <c r="E40" s="3" t="n">
        <v>0</v>
      </c>
      <c r="F40" t="n">
        <v>0</v>
      </c>
    </row>
    <row r="41">
      <c r="A41" s="4" t="inlineStr">
        <is>
          <t>XH</t>
        </is>
      </c>
      <c r="B41" s="4" t="inlineStr">
        <is>
          <t>RESULTAT HORS  ACTIVITES ORDINAIRES (somme TN à RP)</t>
        </is>
      </c>
      <c r="C41" s="4" t="inlineStr"/>
      <c r="D41" s="4" t="inlineStr"/>
      <c r="E41" s="5" t="n">
        <v>0</v>
      </c>
      <c r="F41" s="4" t="n">
        <v>0</v>
      </c>
    </row>
    <row r="42">
      <c r="A42" t="inlineStr">
        <is>
          <t>RQ</t>
        </is>
      </c>
      <c r="B42" t="inlineStr">
        <is>
          <t>Participation des travailleurs</t>
        </is>
      </c>
      <c r="C42" t="inlineStr"/>
      <c r="D42" t="inlineStr">
        <is>
          <t>-</t>
        </is>
      </c>
      <c r="E42" s="3" t="inlineStr"/>
      <c r="F42" t="inlineStr"/>
    </row>
    <row r="43">
      <c r="A43" t="inlineStr">
        <is>
          <t>RS</t>
        </is>
      </c>
      <c r="B43" t="inlineStr">
        <is>
          <t>Impots sur le résultat</t>
        </is>
      </c>
      <c r="C43" t="inlineStr"/>
      <c r="D43" t="inlineStr">
        <is>
          <t>-</t>
        </is>
      </c>
      <c r="E43" s="3" t="inlineStr"/>
      <c r="F43" t="n">
        <v>0</v>
      </c>
    </row>
    <row r="44">
      <c r="A44" s="4" t="inlineStr">
        <is>
          <t>XI</t>
        </is>
      </c>
      <c r="B44" s="4" t="inlineStr">
        <is>
          <t>RÉSULTAT NET DE L'EXERCICE (XG+XH+RQ+RS)</t>
        </is>
      </c>
      <c r="C44" s="4" t="inlineStr"/>
      <c r="D44" s="4" t="inlineStr"/>
      <c r="E44" s="5" t="n">
        <v>1101589</v>
      </c>
      <c r="F44" s="4" t="n">
        <v>0</v>
      </c>
    </row>
    <row r="46">
      <c r="A46" s="6" t="inlineStr">
        <is>
          <t>📄 Généré par 2BN CONSULTING le 03/12/2025 à 10:03:40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0" customHeight="1">
      <c r="A1" s="28" t="inlineStr"/>
    </row>
    <row r="2" ht="20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 ht="20" customHeight="1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 ht="20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 ht="20" customHeight="1">
      <c r="A5" s="1" t="inlineStr"/>
      <c r="B5" s="1" t="inlineStr"/>
      <c r="C5" s="1" t="inlineStr">
        <is>
          <t>Rappel année N-1</t>
        </is>
      </c>
      <c r="D5" s="1" t="inlineStr">
        <is>
          <t>BUDGET PREVI</t>
        </is>
      </c>
      <c r="E5" s="1" t="inlineStr">
        <is>
          <t>Janvier</t>
        </is>
      </c>
      <c r="F5" s="1" t="inlineStr">
        <is>
          <t>Février</t>
        </is>
      </c>
      <c r="G5" s="1" t="inlineStr">
        <is>
          <t>Mars</t>
        </is>
      </c>
      <c r="H5" s="1" t="inlineStr">
        <is>
          <t>Avril</t>
        </is>
      </c>
      <c r="I5" s="1" t="inlineStr">
        <is>
          <t>Mai</t>
        </is>
      </c>
      <c r="J5" s="1" t="inlineStr">
        <is>
          <t>Juin</t>
        </is>
      </c>
      <c r="K5" s="1" t="inlineStr">
        <is>
          <t>Juillet</t>
        </is>
      </c>
      <c r="L5" s="1" t="inlineStr">
        <is>
          <t>Août</t>
        </is>
      </c>
      <c r="M5" s="1" t="inlineStr">
        <is>
          <t>Septembre</t>
        </is>
      </c>
      <c r="N5" s="1" t="inlineStr">
        <is>
          <t>Octobre</t>
        </is>
      </c>
      <c r="O5" s="1" t="inlineStr">
        <is>
          <t>Novembre</t>
        </is>
      </c>
      <c r="P5" s="1" t="inlineStr">
        <is>
          <t>TOTAL ANNEE</t>
        </is>
      </c>
      <c r="Q5" s="1" t="inlineStr">
        <is>
          <t>Ecart au budget</t>
        </is>
      </c>
      <c r="R5" s="1" t="inlineStr">
        <is>
          <t>Variation</t>
        </is>
      </c>
      <c r="S5" s="1" t="inlineStr">
        <is>
          <t>Variation %</t>
        </is>
      </c>
    </row>
    <row r="6" ht="20" customHeight="1">
      <c r="A6" t="inlineStr"/>
      <c r="B6" t="inlineStr">
        <is>
          <t>Appoitements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9" t="n">
        <v>0</v>
      </c>
      <c r="Q6" s="29" t="n">
        <v>0</v>
      </c>
      <c r="R6" s="29" t="n">
        <v>0</v>
      </c>
      <c r="S6" s="29" t="n">
        <v>0</v>
      </c>
    </row>
    <row r="7" ht="20" customHeight="1">
      <c r="A7" t="inlineStr"/>
      <c r="B7" t="inlineStr">
        <is>
          <t>Indemnité de transport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29" t="n">
        <v>0</v>
      </c>
      <c r="Q7" s="29" t="n">
        <v>0</v>
      </c>
      <c r="R7" s="29" t="n">
        <v>0</v>
      </c>
      <c r="S7" s="29" t="n">
        <v>0</v>
      </c>
    </row>
    <row r="8" ht="20" customHeight="1">
      <c r="A8" t="inlineStr"/>
      <c r="B8" t="inlineStr">
        <is>
          <t>Indemnité de logement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9" t="n">
        <v>0</v>
      </c>
      <c r="Q8" s="29" t="n">
        <v>0</v>
      </c>
      <c r="R8" s="29" t="n">
        <v>0</v>
      </c>
      <c r="S8" s="29" t="n">
        <v>0</v>
      </c>
    </row>
    <row r="9" ht="20" customHeight="1">
      <c r="A9" t="inlineStr"/>
      <c r="B9" t="inlineStr">
        <is>
          <t>Indemnité de responsabilité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29" t="n">
        <v>0</v>
      </c>
      <c r="Q9" s="29" t="n">
        <v>0</v>
      </c>
      <c r="R9" s="29" t="n">
        <v>0</v>
      </c>
      <c r="S9" s="29" t="n">
        <v>0</v>
      </c>
    </row>
    <row r="10" ht="20" customHeight="1">
      <c r="A10" t="inlineStr"/>
      <c r="B10" t="inlineStr">
        <is>
          <t>Indemnité de représentation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9" t="n">
        <v>0</v>
      </c>
      <c r="Q10" s="29" t="n">
        <v>0</v>
      </c>
      <c r="R10" s="29" t="n">
        <v>0</v>
      </c>
      <c r="S10" s="29" t="n">
        <v>0</v>
      </c>
    </row>
    <row r="11" ht="20" customHeight="1">
      <c r="A11" t="inlineStr"/>
      <c r="B11" t="inlineStr">
        <is>
          <t>Indemnité véhicule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29" t="n">
        <v>0</v>
      </c>
      <c r="Q11" s="29" t="n">
        <v>0</v>
      </c>
      <c r="R11" s="29" t="n">
        <v>0</v>
      </c>
      <c r="S11" s="29" t="n">
        <v>0</v>
      </c>
    </row>
    <row r="12" ht="20" customHeight="1">
      <c r="A12" t="inlineStr"/>
      <c r="B12" t="inlineStr">
        <is>
          <t>Indemnité de blanchissage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9" t="n">
        <v>0</v>
      </c>
      <c r="Q12" s="29" t="n">
        <v>0</v>
      </c>
      <c r="R12" s="29" t="n">
        <v>0</v>
      </c>
      <c r="S12" s="29" t="n">
        <v>0</v>
      </c>
    </row>
    <row r="13" ht="20" customHeight="1">
      <c r="A13" t="inlineStr"/>
      <c r="B13" t="inlineStr">
        <is>
          <t>Primes fonction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29" t="n">
        <v>0</v>
      </c>
      <c r="Q13" s="29" t="n">
        <v>0</v>
      </c>
      <c r="R13" s="29" t="n">
        <v>0</v>
      </c>
      <c r="S13" s="29" t="n">
        <v>0</v>
      </c>
    </row>
    <row r="14" ht="20" customHeight="1">
      <c r="A14" t="inlineStr"/>
      <c r="B14" t="inlineStr">
        <is>
          <t>Primes panier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9" t="n">
        <v>0</v>
      </c>
      <c r="Q14" s="29" t="n">
        <v>0</v>
      </c>
      <c r="R14" s="29" t="n">
        <v>0</v>
      </c>
      <c r="S14" s="29" t="n">
        <v>0</v>
      </c>
    </row>
    <row r="15" ht="20" customHeight="1">
      <c r="A15" t="inlineStr"/>
      <c r="B15" t="inlineStr">
        <is>
          <t>Primes vestimentaire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29" t="n">
        <v>0</v>
      </c>
      <c r="Q15" s="29" t="n">
        <v>0</v>
      </c>
      <c r="R15" s="29" t="n">
        <v>0</v>
      </c>
      <c r="S15" s="29" t="n">
        <v>0</v>
      </c>
    </row>
    <row r="16" ht="20" customHeight="1">
      <c r="A16" t="inlineStr"/>
      <c r="B16" t="inlineStr">
        <is>
          <t>Primes d'ancienneté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9" t="n">
        <v>0</v>
      </c>
      <c r="Q16" s="29" t="n">
        <v>0</v>
      </c>
      <c r="R16" s="29" t="n">
        <v>0</v>
      </c>
      <c r="S16" s="29" t="n">
        <v>0</v>
      </c>
    </row>
    <row r="17" ht="20" customHeight="1">
      <c r="A17" t="inlineStr"/>
      <c r="B17" t="inlineStr">
        <is>
          <t>Prime d'assiduité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29" t="n">
        <v>0</v>
      </c>
      <c r="Q17" s="29" t="n">
        <v>0</v>
      </c>
      <c r="R17" s="29" t="n">
        <v>0</v>
      </c>
      <c r="S17" s="29" t="n">
        <v>0</v>
      </c>
    </row>
    <row r="18" ht="20" customHeight="1">
      <c r="A18" t="inlineStr"/>
      <c r="B18" t="inlineStr">
        <is>
          <t>Congés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9" t="n">
        <v>0</v>
      </c>
      <c r="Q18" s="29" t="n">
        <v>0</v>
      </c>
      <c r="R18" s="29" t="n">
        <v>0</v>
      </c>
      <c r="S18" s="29" t="n">
        <v>0</v>
      </c>
    </row>
    <row r="19" ht="20" customHeight="1">
      <c r="A19" t="inlineStr"/>
      <c r="B19" t="inlineStr">
        <is>
          <t>Cotisations patronales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29" t="n">
        <v>0</v>
      </c>
      <c r="Q19" s="29" t="n">
        <v>0</v>
      </c>
      <c r="R19" s="29" t="n">
        <v>0</v>
      </c>
      <c r="S19" s="29" t="n">
        <v>0</v>
      </c>
    </row>
    <row r="20" ht="20" customHeight="1">
      <c r="A20" t="inlineStr"/>
      <c r="B20" t="inlineStr">
        <is>
          <t>Appoint du mois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9" t="n">
        <v>0</v>
      </c>
      <c r="Q20" s="29" t="n">
        <v>0</v>
      </c>
      <c r="R20" s="29" t="n">
        <v>0</v>
      </c>
      <c r="S20" s="29" t="n">
        <v>0</v>
      </c>
    </row>
    <row r="21" ht="20" customHeight="1">
      <c r="A21" t="inlineStr"/>
      <c r="B21" t="inlineStr">
        <is>
          <t>Pharmacie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29" t="n">
        <v>0</v>
      </c>
      <c r="Q21" s="29" t="n">
        <v>0</v>
      </c>
      <c r="R21" s="29" t="n">
        <v>0</v>
      </c>
      <c r="S21" s="29" t="n">
        <v>0</v>
      </c>
    </row>
    <row r="22" ht="20" customHeight="1">
      <c r="A22" t="inlineStr"/>
      <c r="B22" t="inlineStr">
        <is>
          <t>Assurance maladie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9" t="n">
        <v>0</v>
      </c>
      <c r="Q22" s="29" t="n">
        <v>0</v>
      </c>
      <c r="R22" s="29" t="n">
        <v>0</v>
      </c>
      <c r="S22" s="29" t="n">
        <v>0</v>
      </c>
    </row>
    <row r="23" ht="20" customHeight="1">
      <c r="A23" s="4" t="inlineStr"/>
      <c r="B23" s="4" t="inlineStr">
        <is>
          <t>Total charges de personnel</t>
        </is>
      </c>
      <c r="C23" s="5" t="n">
        <v>0</v>
      </c>
      <c r="D23" s="5" t="n">
        <v>0</v>
      </c>
      <c r="E23" s="5">
        <f>E6+E7+E8+E9+E10+E11+E12+E13+E14+E15+E16+E17+E18+E19+E20+E21+E22</f>
        <v/>
      </c>
      <c r="F23" s="5">
        <f>F6+F7+F8+F9+F10+F11+F12+F13+F14+F15+F16+F17+F18+F19+F20+F21+F22</f>
        <v/>
      </c>
      <c r="G23" s="5">
        <f>G6+G7+G8+G9+G10+G11+G12+G13+G14+G15+G16+G17+G18+G19+G20+G21+G22</f>
        <v/>
      </c>
      <c r="H23" s="5">
        <f>H6+H7+H8+H9+H10+H11+H12+H13+H14+H15+H16+H17+H18+H19+H20+H21+H22</f>
        <v/>
      </c>
      <c r="I23" s="5">
        <f>I6+I7+I8+I9+I10+I11+I12+I13+I14+I15+I16+I17+I18+I19+I20+I21+I22</f>
        <v/>
      </c>
      <c r="J23" s="5">
        <f>J6+J7+J8+J9+J10+J11+J12+J13+J14+J15+J16+J17+J18+J19+J20+J21+J22</f>
        <v/>
      </c>
      <c r="K23" s="5">
        <f>K6+K7+K8+K9+K10+K11+K12+K13+K14+K15+K16+K17+K18+K19+K20+K21+K22</f>
        <v/>
      </c>
      <c r="L23" s="5">
        <f>L6+L7+L8+L9+L10+L11+L12+L13+L14+L15+L16+L17+L18+L19+L20+L21+L22</f>
        <v/>
      </c>
      <c r="M23" s="5">
        <f>M6+M7+M8+M9+M10+M11+M12+M13+M14+M15+M16+M17+M18+M19+M20+M21+M22</f>
        <v/>
      </c>
      <c r="N23" s="5">
        <f>N6+N7+N8+N9+N10+N11+N12+N13+N14+N15+N16+N17+N18+N19+N20+N21+N22</f>
        <v/>
      </c>
      <c r="O23" s="5">
        <f>O6+O7+O8+O9+O10+O11+O12+O13+O14+O15+O16+O17+O18+O19+O20+O21+O22</f>
        <v/>
      </c>
      <c r="P23" s="5">
        <f>P6+P7+P8+P9+P10+P11+P12+P13+P14+P15+P16+P17+P18+P19+P20+P21+P22</f>
        <v/>
      </c>
      <c r="Q23" s="5">
        <f>Q6+Q7+Q8+Q9+Q10+Q11+Q12+Q13+Q14+Q15+Q16+Q17+Q18+Q19+Q20+Q21+Q22</f>
        <v/>
      </c>
      <c r="R23" s="5">
        <f>R6+R7+R8+R9+R10+R11+R12+R13+R14+R15+R16+R17+R18+R19+R20+R21+R22</f>
        <v/>
      </c>
      <c r="S23" s="5">
        <f>S6+S7+S8+S9+S10+S11+S12+S13+S14+S15+S16+S17+S18+S19+S20+S21+S22</f>
        <v/>
      </c>
    </row>
    <row r="24" ht="20" customHeight="1">
      <c r="A24" t="inlineStr"/>
      <c r="B24" t="inlineStr">
        <is>
          <t>Matières consommables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9" t="n">
        <v>0</v>
      </c>
      <c r="Q24" s="29" t="n">
        <v>0</v>
      </c>
      <c r="R24" s="29" t="n">
        <v>0</v>
      </c>
      <c r="S24" s="29" t="n">
        <v>0</v>
      </c>
    </row>
    <row r="25" ht="20" customHeight="1">
      <c r="A25" t="inlineStr"/>
      <c r="B25" t="inlineStr">
        <is>
          <t xml:space="preserve">  IMPRESSION CARNET 50 FEUILLE+SOUCHES</t>
        </is>
      </c>
      <c r="C25" s="3" t="n">
        <v>0</v>
      </c>
      <c r="D25" s="3" t="n">
        <v>0</v>
      </c>
      <c r="E25" s="3" t="n">
        <v>-47200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-47672</v>
      </c>
      <c r="O25" s="3" t="n">
        <v>0</v>
      </c>
      <c r="P25" s="29">
        <f>SUM(E25:O25)</f>
        <v/>
      </c>
      <c r="Q25" s="29">
        <f>P25-D25</f>
        <v/>
      </c>
      <c r="R25" s="29">
        <f>P25-C25</f>
        <v/>
      </c>
      <c r="S25" s="29">
        <f>IF(C25=0,0,(P25-C25)/C25*100)</f>
        <v/>
      </c>
    </row>
    <row r="26" ht="20" customHeight="1">
      <c r="A26" s="30" t="inlineStr"/>
      <c r="B26" s="30" t="inlineStr">
        <is>
          <t>Total Fournitures de bureau</t>
        </is>
      </c>
      <c r="C26" s="31" t="n">
        <v>0</v>
      </c>
      <c r="D26" s="31" t="n">
        <v>0</v>
      </c>
      <c r="E26" s="31" t="n">
        <v>-47200</v>
      </c>
      <c r="F26" s="31" t="n">
        <v>0</v>
      </c>
      <c r="G26" s="31" t="n">
        <v>0</v>
      </c>
      <c r="H26" s="31" t="n">
        <v>0</v>
      </c>
      <c r="I26" s="31" t="n">
        <v>0</v>
      </c>
      <c r="J26" s="31" t="n">
        <v>0</v>
      </c>
      <c r="K26" s="31" t="n">
        <v>0</v>
      </c>
      <c r="L26" s="31" t="n">
        <v>0</v>
      </c>
      <c r="M26" s="31" t="n">
        <v>0</v>
      </c>
      <c r="N26" s="31" t="n">
        <v>-47672</v>
      </c>
      <c r="O26" s="31" t="n">
        <v>0</v>
      </c>
      <c r="P26" s="32">
        <f>SUM(E26:O26)</f>
        <v/>
      </c>
      <c r="Q26" s="32" t="n"/>
      <c r="R26" s="32" t="n"/>
      <c r="S26" s="32" t="n"/>
    </row>
    <row r="27" ht="20" customHeight="1">
      <c r="A27" t="inlineStr"/>
      <c r="B27" t="inlineStr">
        <is>
          <t>Eau/Électricité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29" t="n">
        <v>0</v>
      </c>
      <c r="Q27" s="29" t="n">
        <v>0</v>
      </c>
      <c r="R27" s="29" t="n">
        <v>0</v>
      </c>
      <c r="S27" s="29" t="n">
        <v>0</v>
      </c>
    </row>
    <row r="28" ht="20" customHeight="1">
      <c r="A28" t="inlineStr"/>
      <c r="B28" t="inlineStr">
        <is>
          <t>Carburant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9" t="n">
        <v>0</v>
      </c>
      <c r="Q28" s="29" t="n">
        <v>0</v>
      </c>
      <c r="R28" s="29" t="n">
        <v>0</v>
      </c>
      <c r="S28" s="29" t="n">
        <v>0</v>
      </c>
    </row>
    <row r="29" ht="20" customHeight="1">
      <c r="A29" t="inlineStr"/>
      <c r="B29" t="inlineStr">
        <is>
          <t>Transports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29" t="n">
        <v>0</v>
      </c>
      <c r="Q29" s="29" t="n">
        <v>0</v>
      </c>
      <c r="R29" s="29" t="n">
        <v>0</v>
      </c>
      <c r="S29" s="29" t="n">
        <v>0</v>
      </c>
    </row>
    <row r="30" ht="20" customHeight="1">
      <c r="A30" t="inlineStr"/>
      <c r="B30" t="inlineStr">
        <is>
          <t>Télécommunication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9" t="n">
        <v>0</v>
      </c>
      <c r="Q30" s="29" t="n">
        <v>0</v>
      </c>
      <c r="R30" s="29" t="n">
        <v>0</v>
      </c>
      <c r="S30" s="29" t="n">
        <v>0</v>
      </c>
    </row>
    <row r="31" ht="20" customHeight="1">
      <c r="A31" t="inlineStr"/>
      <c r="B31" t="inlineStr">
        <is>
          <t>Entretien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29" t="n">
        <v>0</v>
      </c>
      <c r="Q31" s="29" t="n">
        <v>0</v>
      </c>
      <c r="R31" s="29" t="n">
        <v>0</v>
      </c>
      <c r="S31" s="29" t="n">
        <v>0</v>
      </c>
    </row>
    <row r="32" ht="20" customHeight="1">
      <c r="A32" t="inlineStr"/>
      <c r="B32" t="inlineStr">
        <is>
          <t>Formation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9" t="n">
        <v>0</v>
      </c>
      <c r="Q32" s="29" t="n">
        <v>0</v>
      </c>
      <c r="R32" s="29" t="n">
        <v>0</v>
      </c>
      <c r="S32" s="29" t="n">
        <v>0</v>
      </c>
    </row>
    <row r="33" ht="20" customHeight="1">
      <c r="A33" t="inlineStr"/>
      <c r="B33" t="inlineStr">
        <is>
          <t>Restauration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29" t="n">
        <v>0</v>
      </c>
      <c r="Q33" s="29" t="n">
        <v>0</v>
      </c>
      <c r="R33" s="29" t="n">
        <v>0</v>
      </c>
      <c r="S33" s="29" t="n">
        <v>0</v>
      </c>
    </row>
    <row r="34" ht="20" customHeight="1">
      <c r="A34" t="inlineStr"/>
      <c r="B34" t="inlineStr">
        <is>
          <t>Location matériel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9" t="n">
        <v>0</v>
      </c>
      <c r="Q34" s="29" t="n">
        <v>0</v>
      </c>
      <c r="R34" s="29" t="n">
        <v>0</v>
      </c>
      <c r="S34" s="29" t="n">
        <v>0</v>
      </c>
    </row>
    <row r="35" ht="20" customHeight="1">
      <c r="A35" t="inlineStr"/>
      <c r="B35" t="inlineStr">
        <is>
          <t>Loyer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29" t="n">
        <v>0</v>
      </c>
      <c r="Q35" s="29" t="n">
        <v>0</v>
      </c>
      <c r="R35" s="29" t="n">
        <v>0</v>
      </c>
      <c r="S35" s="29" t="n">
        <v>0</v>
      </c>
    </row>
    <row r="36" ht="20" customHeight="1">
      <c r="A36" t="inlineStr"/>
      <c r="B36" t="inlineStr">
        <is>
          <t>Assurance risque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9" t="n">
        <v>0</v>
      </c>
      <c r="Q36" s="29" t="n">
        <v>0</v>
      </c>
      <c r="R36" s="29" t="n">
        <v>0</v>
      </c>
      <c r="S36" s="29" t="n">
        <v>0</v>
      </c>
    </row>
    <row r="37" ht="20" customHeight="1">
      <c r="A37" t="inlineStr"/>
      <c r="B37" t="inlineStr">
        <is>
          <t>Publicité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29" t="n">
        <v>0</v>
      </c>
      <c r="Q37" s="29" t="n">
        <v>0</v>
      </c>
      <c r="R37" s="29" t="n">
        <v>0</v>
      </c>
      <c r="S37" s="29" t="n">
        <v>0</v>
      </c>
    </row>
    <row r="38" ht="20" customHeight="1">
      <c r="A38" t="inlineStr"/>
      <c r="B38" t="inlineStr">
        <is>
          <t xml:space="preserve">  INTERCO/PATENTE DU 24/02/2025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-170000</v>
      </c>
      <c r="M38" s="3" t="n">
        <v>0</v>
      </c>
      <c r="N38" s="3" t="n">
        <v>0</v>
      </c>
      <c r="O38" s="3" t="n">
        <v>0</v>
      </c>
      <c r="P38" s="29">
        <f>SUM(E38:O38)</f>
        <v/>
      </c>
      <c r="Q38" s="29">
        <f>P38-D38</f>
        <v/>
      </c>
      <c r="R38" s="29">
        <f>P38-C38</f>
        <v/>
      </c>
      <c r="S38" s="29">
        <f>IF(C38=0,0,(P38-C38)/C38*100)</f>
        <v/>
      </c>
    </row>
    <row r="39" ht="20" customHeight="1">
      <c r="A39" s="30" t="inlineStr"/>
      <c r="B39" s="30" t="inlineStr">
        <is>
          <t>Total Impôts &amp; Taxes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-170000</v>
      </c>
      <c r="M39" s="31" t="n">
        <v>0</v>
      </c>
      <c r="N39" s="31" t="n">
        <v>0</v>
      </c>
      <c r="O39" s="31" t="n">
        <v>0</v>
      </c>
      <c r="P39" s="32">
        <f>SUM(E39:O39)</f>
        <v/>
      </c>
      <c r="Q39" s="32" t="n"/>
      <c r="R39" s="32" t="n"/>
      <c r="S39" s="32" t="n"/>
    </row>
    <row r="40" ht="20" customHeight="1">
      <c r="A40" t="inlineStr"/>
      <c r="B40" t="inlineStr">
        <is>
          <t xml:space="preserve">  FACTURE 2BNC NøFA2BNC052 DE JANVIER 2025</t>
        </is>
      </c>
      <c r="C40" s="3" t="n">
        <v>0</v>
      </c>
      <c r="D40" s="3" t="n">
        <v>0</v>
      </c>
      <c r="E40" s="3" t="n">
        <v>-220994</v>
      </c>
      <c r="F40" s="3" t="n">
        <v>-220994</v>
      </c>
      <c r="G40" s="3" t="n">
        <v>-220994</v>
      </c>
      <c r="H40" s="3" t="n">
        <v>-220994</v>
      </c>
      <c r="I40" s="3" t="n">
        <v>-220994</v>
      </c>
      <c r="J40" s="3" t="n">
        <v>-220994</v>
      </c>
      <c r="K40" s="3" t="n">
        <v>-220994</v>
      </c>
      <c r="L40" s="3" t="n">
        <v>-220994</v>
      </c>
      <c r="M40" s="3" t="n">
        <v>-220994</v>
      </c>
      <c r="N40" s="3" t="n">
        <v>-220994</v>
      </c>
      <c r="O40" s="3" t="n">
        <v>-220994</v>
      </c>
      <c r="P40" s="29">
        <f>SUM(E40:O40)</f>
        <v/>
      </c>
      <c r="Q40" s="29">
        <f>P40-D40</f>
        <v/>
      </c>
      <c r="R40" s="29">
        <f>P40-C40</f>
        <v/>
      </c>
      <c r="S40" s="29">
        <f>IF(C40=0,0,(P40-C40)/C40*100)</f>
        <v/>
      </c>
    </row>
    <row r="41" ht="20" customHeight="1">
      <c r="A41" s="30" t="inlineStr"/>
      <c r="B41" s="30" t="inlineStr">
        <is>
          <t>Total Intermédiaire &amp; conseils</t>
        </is>
      </c>
      <c r="C41" s="31" t="n">
        <v>0</v>
      </c>
      <c r="D41" s="31" t="n">
        <v>0</v>
      </c>
      <c r="E41" s="31" t="n">
        <v>-220994</v>
      </c>
      <c r="F41" s="31" t="n">
        <v>-220994</v>
      </c>
      <c r="G41" s="31" t="n">
        <v>-220994</v>
      </c>
      <c r="H41" s="31" t="n">
        <v>-220994</v>
      </c>
      <c r="I41" s="31" t="n">
        <v>-220994</v>
      </c>
      <c r="J41" s="31" t="n">
        <v>-220994</v>
      </c>
      <c r="K41" s="31" t="n">
        <v>-220994</v>
      </c>
      <c r="L41" s="31" t="n">
        <v>-220994</v>
      </c>
      <c r="M41" s="31" t="n">
        <v>-220994</v>
      </c>
      <c r="N41" s="31" t="n">
        <v>-220994</v>
      </c>
      <c r="O41" s="31" t="n">
        <v>-220994</v>
      </c>
      <c r="P41" s="32">
        <f>SUM(E41:O41)</f>
        <v/>
      </c>
      <c r="Q41" s="32" t="n"/>
      <c r="R41" s="32" t="n"/>
      <c r="S41" s="32" t="n"/>
    </row>
    <row r="42" ht="20" customHeight="1">
      <c r="A42" t="inlineStr"/>
      <c r="B42" t="inlineStr">
        <is>
          <t xml:space="preserve">  FRAIS BANCAIRE D'OCTOBRE A DECEMBRE 2024</t>
        </is>
      </c>
      <c r="C42" s="3" t="n">
        <v>0</v>
      </c>
      <c r="D42" s="3" t="n">
        <v>0</v>
      </c>
      <c r="E42" s="3" t="n">
        <v>-57986</v>
      </c>
      <c r="F42" s="3" t="n">
        <v>-24521</v>
      </c>
      <c r="G42" s="3" t="n">
        <v>-34631</v>
      </c>
      <c r="H42" s="3" t="n">
        <v>-213</v>
      </c>
      <c r="I42" s="3" t="n">
        <v>-220</v>
      </c>
      <c r="J42" s="3" t="n">
        <v>-214</v>
      </c>
      <c r="K42" s="3" t="n">
        <v>-223</v>
      </c>
      <c r="L42" s="3" t="n">
        <v>-223</v>
      </c>
      <c r="M42" s="3" t="n">
        <v>-217</v>
      </c>
      <c r="N42" s="3" t="n">
        <v>-224</v>
      </c>
      <c r="O42" s="3" t="n">
        <v>0</v>
      </c>
      <c r="P42" s="29">
        <f>SUM(E42:O42)</f>
        <v/>
      </c>
      <c r="Q42" s="29">
        <f>P42-D42</f>
        <v/>
      </c>
      <c r="R42" s="29">
        <f>P42-C42</f>
        <v/>
      </c>
      <c r="S42" s="29">
        <f>IF(C42=0,0,(P42-C42)/C42*100)</f>
        <v/>
      </c>
    </row>
    <row r="43" ht="20" customHeight="1">
      <c r="A43" s="30" t="inlineStr"/>
      <c r="B43" s="30" t="inlineStr">
        <is>
          <t>Total Frais bancaires</t>
        </is>
      </c>
      <c r="C43" s="31" t="n">
        <v>0</v>
      </c>
      <c r="D43" s="31" t="n">
        <v>0</v>
      </c>
      <c r="E43" s="31" t="n">
        <v>-57986</v>
      </c>
      <c r="F43" s="31" t="n">
        <v>-24521</v>
      </c>
      <c r="G43" s="31" t="n">
        <v>-34631</v>
      </c>
      <c r="H43" s="31" t="n">
        <v>-213</v>
      </c>
      <c r="I43" s="31" t="n">
        <v>-220</v>
      </c>
      <c r="J43" s="31" t="n">
        <v>-214</v>
      </c>
      <c r="K43" s="31" t="n">
        <v>-223</v>
      </c>
      <c r="L43" s="31" t="n">
        <v>-223</v>
      </c>
      <c r="M43" s="31" t="n">
        <v>-217</v>
      </c>
      <c r="N43" s="31" t="n">
        <v>-224</v>
      </c>
      <c r="O43" s="31" t="n">
        <v>0</v>
      </c>
      <c r="P43" s="32">
        <f>SUM(E43:O43)</f>
        <v/>
      </c>
      <c r="Q43" s="32" t="n"/>
      <c r="R43" s="32" t="n"/>
      <c r="S43" s="32" t="n"/>
    </row>
    <row r="44" ht="20" customHeight="1">
      <c r="A44" t="inlineStr"/>
      <c r="B44" t="inlineStr">
        <is>
          <t>Redevances logiciels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9" t="n">
        <v>0</v>
      </c>
      <c r="Q44" s="29" t="n">
        <v>0</v>
      </c>
      <c r="R44" s="29" t="n">
        <v>0</v>
      </c>
      <c r="S44" s="29" t="n">
        <v>0</v>
      </c>
    </row>
    <row r="45" ht="20" customHeight="1">
      <c r="A45" t="inlineStr"/>
      <c r="B45" t="inlineStr">
        <is>
          <t>Réception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29" t="n">
        <v>0</v>
      </c>
      <c r="Q45" s="29" t="n">
        <v>0</v>
      </c>
      <c r="R45" s="29" t="n">
        <v>0</v>
      </c>
      <c r="S45" s="29" t="n">
        <v>0</v>
      </c>
    </row>
    <row r="46" ht="20" customHeight="1">
      <c r="A46" t="inlineStr"/>
      <c r="B46" t="inlineStr">
        <is>
          <t>Intérêts emprunt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9" t="n">
        <v>0</v>
      </c>
      <c r="Q46" s="29" t="n">
        <v>0</v>
      </c>
      <c r="R46" s="29" t="n">
        <v>0</v>
      </c>
      <c r="S46" s="29" t="n">
        <v>0</v>
      </c>
    </row>
    <row r="47" ht="20" customHeight="1">
      <c r="A47" t="inlineStr"/>
      <c r="B47" t="inlineStr">
        <is>
          <t xml:space="preserve">  AMORTISSEMENT DU MATERIEL DE TRANSPORT/DE MARS A A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-1445091</v>
      </c>
      <c r="M47" s="3" t="n">
        <v>-240849</v>
      </c>
      <c r="N47" s="3" t="n">
        <v>-240849</v>
      </c>
      <c r="O47" s="3" t="n">
        <v>-240849</v>
      </c>
      <c r="P47" s="29">
        <f>SUM(E47:O47)</f>
        <v/>
      </c>
      <c r="Q47" s="29">
        <f>P47-D47</f>
        <v/>
      </c>
      <c r="R47" s="29">
        <f>P47-C47</f>
        <v/>
      </c>
      <c r="S47" s="29">
        <f>IF(C47=0,0,(P47-C47)/C47*100)</f>
        <v/>
      </c>
    </row>
    <row r="48" ht="20" customHeight="1">
      <c r="A48" s="30" t="inlineStr"/>
      <c r="B48" s="30" t="inlineStr">
        <is>
          <t>Total Amortissement</t>
        </is>
      </c>
      <c r="C48" s="31" t="n">
        <v>0</v>
      </c>
      <c r="D48" s="31" t="n">
        <v>0</v>
      </c>
      <c r="E48" s="31" t="n">
        <v>0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0</v>
      </c>
      <c r="K48" s="31" t="n">
        <v>0</v>
      </c>
      <c r="L48" s="31" t="n">
        <v>-1445091</v>
      </c>
      <c r="M48" s="31" t="n">
        <v>-240849</v>
      </c>
      <c r="N48" s="31" t="n">
        <v>-240849</v>
      </c>
      <c r="O48" s="31" t="n">
        <v>-240849</v>
      </c>
      <c r="P48" s="32">
        <f>SUM(E48:O48)</f>
        <v/>
      </c>
      <c r="Q48" s="32" t="n"/>
      <c r="R48" s="32" t="n"/>
      <c r="S48" s="32" t="n"/>
    </row>
    <row r="49" ht="20" customHeight="1">
      <c r="A49" t="inlineStr"/>
      <c r="B49" t="inlineStr">
        <is>
          <t>Frais de mission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29" t="n">
        <v>0</v>
      </c>
      <c r="Q49" s="29" t="n">
        <v>0</v>
      </c>
      <c r="R49" s="29" t="n">
        <v>0</v>
      </c>
      <c r="S49" s="29" t="n">
        <v>0</v>
      </c>
    </row>
    <row r="50" ht="20" customHeight="1">
      <c r="A50" t="inlineStr"/>
      <c r="B50" t="inlineStr">
        <is>
          <t xml:space="preserve">  INTERCO/IMPRESSION T SHIRT 1ER MAI 2025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-4600</v>
      </c>
      <c r="M50" s="3" t="n">
        <v>0</v>
      </c>
      <c r="N50" s="3" t="n">
        <v>0</v>
      </c>
      <c r="O50" s="3" t="n">
        <v>0</v>
      </c>
      <c r="P50" s="29">
        <f>SUM(E50:O50)</f>
        <v/>
      </c>
      <c r="Q50" s="29">
        <f>P50-D50</f>
        <v/>
      </c>
      <c r="R50" s="29">
        <f>P50-C50</f>
        <v/>
      </c>
      <c r="S50" s="29">
        <f>IF(C50=0,0,(P50-C50)/C50*100)</f>
        <v/>
      </c>
    </row>
    <row r="51" ht="20" customHeight="1">
      <c r="A51" s="30" t="inlineStr"/>
      <c r="B51" s="30" t="inlineStr">
        <is>
          <t>Total Pénalités</t>
        </is>
      </c>
      <c r="C51" s="31" t="n">
        <v>0</v>
      </c>
      <c r="D51" s="31" t="n">
        <v>0</v>
      </c>
      <c r="E51" s="31" t="n">
        <v>0</v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0</v>
      </c>
      <c r="K51" s="31" t="n">
        <v>0</v>
      </c>
      <c r="L51" s="31" t="n">
        <v>-4600</v>
      </c>
      <c r="M51" s="31" t="n">
        <v>0</v>
      </c>
      <c r="N51" s="31" t="n">
        <v>0</v>
      </c>
      <c r="O51" s="31" t="n">
        <v>0</v>
      </c>
      <c r="P51" s="32">
        <f>SUM(E51:O51)</f>
        <v/>
      </c>
      <c r="Q51" s="32" t="n"/>
      <c r="R51" s="32" t="n"/>
      <c r="S51" s="32" t="n"/>
    </row>
    <row r="52" ht="20" customHeight="1">
      <c r="A52" t="inlineStr"/>
      <c r="B52" t="inlineStr">
        <is>
          <t xml:space="preserve">  INTERCO/IMPRESSION T SHIRT 1ER MAI 2025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-4600</v>
      </c>
      <c r="M52" s="3" t="n">
        <v>0</v>
      </c>
      <c r="N52" s="3" t="n">
        <v>0</v>
      </c>
      <c r="O52" s="3" t="n">
        <v>0</v>
      </c>
      <c r="P52" s="29">
        <f>SUM(E52:O52)</f>
        <v/>
      </c>
      <c r="Q52" s="29">
        <f>P52-D52</f>
        <v/>
      </c>
      <c r="R52" s="29">
        <f>P52-C52</f>
        <v/>
      </c>
      <c r="S52" s="29">
        <f>IF(C52=0,0,(P52-C52)/C52*100)</f>
        <v/>
      </c>
    </row>
    <row r="53" ht="20" customHeight="1">
      <c r="A53" s="30" t="inlineStr"/>
      <c r="B53" s="30" t="inlineStr">
        <is>
          <t>Total Autres charges divers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-4600</v>
      </c>
      <c r="M53" s="31" t="n">
        <v>0</v>
      </c>
      <c r="N53" s="31" t="n">
        <v>0</v>
      </c>
      <c r="O53" s="31" t="n">
        <v>0</v>
      </c>
      <c r="P53" s="32">
        <f>SUM(E53:O53)</f>
        <v/>
      </c>
      <c r="Q53" s="32" t="n"/>
      <c r="R53" s="32" t="n"/>
      <c r="S53" s="32" t="n"/>
    </row>
    <row r="54" ht="20" customHeight="1">
      <c r="A54" s="4" t="inlineStr"/>
      <c r="B54" s="4" t="inlineStr">
        <is>
          <t>Autres charges</t>
        </is>
      </c>
      <c r="C54" s="5" t="n">
        <v>0</v>
      </c>
      <c r="D54" s="5" t="n">
        <v>0</v>
      </c>
      <c r="E54" s="5">
        <f>E24+E26+E27+E28+E29+E30+E31+E32+E33+E34+E35+E36+E37+E39+E41+E43+E44+E45+E46+E48+E49+E51+E53</f>
        <v/>
      </c>
      <c r="F54" s="5">
        <f>F24+F26+F27+F28+F29+F30+F31+F32+F33+F34+F35+F36+F37+F39+F41+F43+F44+F45+F46+F48+F49+F51+F53</f>
        <v/>
      </c>
      <c r="G54" s="5">
        <f>G24+G26+G27+G28+G29+G30+G31+G32+G33+G34+G35+G36+G37+G39+G41+G43+G44+G45+G46+G48+G49+G51+G53</f>
        <v/>
      </c>
      <c r="H54" s="5">
        <f>H24+H26+H27+H28+H29+H30+H31+H32+H33+H34+H35+H36+H37+H39+H41+H43+H44+H45+H46+H48+H49+H51+H53</f>
        <v/>
      </c>
      <c r="I54" s="5">
        <f>I24+I26+I27+I28+I29+I30+I31+I32+I33+I34+I35+I36+I37+I39+I41+I43+I44+I45+I46+I48+I49+I51+I53</f>
        <v/>
      </c>
      <c r="J54" s="5">
        <f>J24+J26+J27+J28+J29+J30+J31+J32+J33+J34+J35+J36+J37+J39+J41+J43+J44+J45+J46+J48+J49+J51+J53</f>
        <v/>
      </c>
      <c r="K54" s="5">
        <f>K24+K26+K27+K28+K29+K30+K31+K32+K33+K34+K35+K36+K37+K39+K41+K43+K44+K45+K46+K48+K49+K51+K53</f>
        <v/>
      </c>
      <c r="L54" s="5">
        <f>L24+L26+L27+L28+L29+L30+L31+L32+L33+L34+L35+L36+L37+L39+L41+L43+L44+L45+L46+L48+L49+L51+L53</f>
        <v/>
      </c>
      <c r="M54" s="5">
        <f>M24+M26+M27+M28+M29+M30+M31+M32+M33+M34+M35+M36+M37+M39+M41+M43+M44+M45+M46+M48+M49+M51+M53</f>
        <v/>
      </c>
      <c r="N54" s="5">
        <f>N24+N26+N27+N28+N29+N30+N31+N32+N33+N34+N35+N36+N37+N39+N41+N43+N44+N45+N46+N48+N49+N51+N53</f>
        <v/>
      </c>
      <c r="O54" s="5">
        <f>O24+O26+O27+O28+O29+O30+O31+O32+O33+O34+O35+O36+O37+O39+O41+O43+O44+O45+O46+O48+O49+O51+O53</f>
        <v/>
      </c>
      <c r="P54" s="5">
        <f>P24+P26+P27+P28+P29+P30+P31+P32+P33+P34+P35+P36+P37+P39+P41+P43+P44+P45+P46+P48+P49+P51+P53</f>
        <v/>
      </c>
      <c r="Q54" s="5">
        <f>Q24+Q26+Q27+Q28+Q29+Q30+Q31+Q32+Q33+Q34+Q35+Q36+Q37+Q39+Q41+Q43+Q44+Q45+Q46+Q48+Q49+Q51+Q53</f>
        <v/>
      </c>
      <c r="R54" s="5" t="n"/>
      <c r="S54" s="5" t="n"/>
    </row>
    <row r="55" ht="20" customHeight="1">
      <c r="A55" t="inlineStr"/>
      <c r="B55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29" t="inlineStr"/>
      <c r="Q55" s="29" t="inlineStr"/>
      <c r="R55" s="29" t="inlineStr"/>
      <c r="S55" s="29" t="inlineStr"/>
    </row>
    <row r="56" ht="20" customHeight="1">
      <c r="A56" t="inlineStr"/>
      <c r="B56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29" t="inlineStr"/>
      <c r="Q56" s="29" t="inlineStr"/>
      <c r="R56" s="29" t="inlineStr"/>
      <c r="S56" s="29" t="inlineStr"/>
    </row>
    <row r="57" ht="20" customHeight="1">
      <c r="A57" t="inlineStr"/>
      <c r="B57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29" t="inlineStr"/>
      <c r="Q57" s="29" t="inlineStr"/>
      <c r="R57" s="29" t="inlineStr"/>
      <c r="S57" s="29" t="inlineStr"/>
    </row>
    <row r="58" ht="20" customHeight="1">
      <c r="A58" s="33" t="inlineStr"/>
      <c r="B58" s="33" t="inlineStr">
        <is>
          <t>Total charges</t>
        </is>
      </c>
      <c r="C58" s="34">
        <f>+C23+C54</f>
        <v/>
      </c>
      <c r="D58" s="34">
        <f>+D23+D54</f>
        <v/>
      </c>
      <c r="E58" s="34">
        <f>+E23+E54</f>
        <v/>
      </c>
      <c r="F58" s="34">
        <f>+F23+F54</f>
        <v/>
      </c>
      <c r="G58" s="34">
        <f>+G23+G54</f>
        <v/>
      </c>
      <c r="H58" s="34">
        <f>+H23+H54</f>
        <v/>
      </c>
      <c r="I58" s="34">
        <f>+I23+I54</f>
        <v/>
      </c>
      <c r="J58" s="34">
        <f>+J23+J54</f>
        <v/>
      </c>
      <c r="K58" s="34">
        <f>+K23+K54</f>
        <v/>
      </c>
      <c r="L58" s="34">
        <f>+L23+L54</f>
        <v/>
      </c>
      <c r="M58" s="34">
        <f>+M23+M54</f>
        <v/>
      </c>
      <c r="N58" s="34">
        <f>+N23+N54</f>
        <v/>
      </c>
      <c r="O58" s="34">
        <f>+O23+O54</f>
        <v/>
      </c>
      <c r="P58" s="34">
        <f>+P23+P54</f>
        <v/>
      </c>
      <c r="Q58" s="34">
        <f>+Q23+Q54</f>
        <v/>
      </c>
      <c r="R58" s="34">
        <f>+R23+R54</f>
        <v/>
      </c>
      <c r="S58" s="34">
        <f>+S23+S54</f>
        <v/>
      </c>
      <c r="T58">
        <f>+N23+N54</f>
        <v/>
      </c>
    </row>
    <row r="59" ht="20" customHeight="1">
      <c r="A59" t="inlineStr"/>
      <c r="B59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29" t="inlineStr"/>
      <c r="Q59" s="29" t="inlineStr"/>
      <c r="R59" s="29" t="inlineStr"/>
      <c r="S59" s="29" t="inlineStr"/>
    </row>
    <row r="60" ht="20" customHeight="1">
      <c r="A60" t="inlineStr"/>
      <c r="B60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29" t="inlineStr"/>
      <c r="Q60" s="29" t="inlineStr"/>
      <c r="R60" s="29" t="inlineStr"/>
      <c r="S60" s="29" t="inlineStr"/>
    </row>
    <row r="61" ht="20" customHeight="1">
      <c r="A61" t="inlineStr"/>
      <c r="B61" t="inlineStr">
        <is>
          <t xml:space="preserve">  COM/LOYER</t>
        </is>
      </c>
      <c r="C61" s="3" t="n">
        <v>0</v>
      </c>
      <c r="D61" s="3" t="n">
        <v>0</v>
      </c>
      <c r="E61" s="3" t="n">
        <v>481850</v>
      </c>
      <c r="F61" s="3" t="n">
        <v>476250</v>
      </c>
      <c r="G61" s="3" t="n">
        <v>833700</v>
      </c>
      <c r="H61" s="3" t="n">
        <v>594200</v>
      </c>
      <c r="I61" s="3" t="n">
        <v>555000</v>
      </c>
      <c r="J61" s="3" t="n">
        <v>622200</v>
      </c>
      <c r="K61" s="3" t="n">
        <v>604350</v>
      </c>
      <c r="L61" s="3" t="n">
        <v>524850</v>
      </c>
      <c r="M61" s="3" t="n">
        <v>492950</v>
      </c>
      <c r="N61" s="3" t="n">
        <v>522800</v>
      </c>
      <c r="O61" s="3" t="n">
        <v>0</v>
      </c>
      <c r="P61" s="29">
        <f>SUM(E61:O61)</f>
        <v/>
      </c>
      <c r="Q61" s="29">
        <f>P61-D61</f>
        <v/>
      </c>
      <c r="R61" s="29">
        <f>P61-C61</f>
        <v/>
      </c>
      <c r="S61" s="29">
        <f>IF(C61=0,0,(P61-C61)/C61*100)</f>
        <v/>
      </c>
    </row>
    <row r="62" ht="20" customHeight="1">
      <c r="A62" s="30" t="inlineStr"/>
      <c r="B62" s="30" t="inlineStr">
        <is>
          <t>Total Chiffre d'affaires commissions</t>
        </is>
      </c>
      <c r="C62" s="31" t="n">
        <v>0</v>
      </c>
      <c r="D62" s="31" t="n">
        <v>0</v>
      </c>
      <c r="E62" s="31" t="n">
        <v>481850</v>
      </c>
      <c r="F62" s="31" t="n">
        <v>476250</v>
      </c>
      <c r="G62" s="31" t="n">
        <v>833700</v>
      </c>
      <c r="H62" s="31" t="n">
        <v>594200</v>
      </c>
      <c r="I62" s="31" t="n">
        <v>555000</v>
      </c>
      <c r="J62" s="31" t="n">
        <v>622200</v>
      </c>
      <c r="K62" s="31" t="n">
        <v>604350</v>
      </c>
      <c r="L62" s="31" t="n">
        <v>524850</v>
      </c>
      <c r="M62" s="31" t="n">
        <v>492950</v>
      </c>
      <c r="N62" s="31" t="n">
        <v>522800</v>
      </c>
      <c r="O62" s="31" t="n">
        <v>0</v>
      </c>
      <c r="P62" s="32">
        <f>SUM(E62:O62)</f>
        <v/>
      </c>
      <c r="Q62" s="32" t="n"/>
      <c r="R62" s="32" t="n"/>
      <c r="S62" s="32" t="n"/>
    </row>
    <row r="63" ht="20" customHeight="1">
      <c r="A63" t="inlineStr"/>
      <c r="B63" t="inlineStr">
        <is>
          <t xml:space="preserve">  FACTURATION NOV 25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421500</v>
      </c>
      <c r="P63" s="29">
        <f>SUM(E63:O63)</f>
        <v/>
      </c>
      <c r="Q63" s="29">
        <f>P63-D63</f>
        <v/>
      </c>
      <c r="R63" s="29">
        <f>P63-C63</f>
        <v/>
      </c>
      <c r="S63" s="29">
        <f>IF(C63=0,0,(P63-C63)/C63*100)</f>
        <v/>
      </c>
    </row>
    <row r="64" ht="20" customHeight="1">
      <c r="A64" s="30" t="inlineStr"/>
      <c r="B64" s="30" t="inlineStr">
        <is>
          <t>Total Chiffre d'affaires</t>
        </is>
      </c>
      <c r="C64" s="31" t="n">
        <v>0</v>
      </c>
      <c r="D64" s="31" t="n">
        <v>0</v>
      </c>
      <c r="E64" s="31" t="n">
        <v>0</v>
      </c>
      <c r="F64" s="31" t="n">
        <v>0</v>
      </c>
      <c r="G64" s="31" t="n">
        <v>0</v>
      </c>
      <c r="H64" s="31" t="n">
        <v>0</v>
      </c>
      <c r="I64" s="31" t="n">
        <v>0</v>
      </c>
      <c r="J64" s="31" t="n">
        <v>0</v>
      </c>
      <c r="K64" s="31" t="n">
        <v>0</v>
      </c>
      <c r="L64" s="31" t="n">
        <v>0</v>
      </c>
      <c r="M64" s="31" t="n">
        <v>0</v>
      </c>
      <c r="N64" s="31" t="n">
        <v>0</v>
      </c>
      <c r="O64" s="31" t="n">
        <v>421500</v>
      </c>
      <c r="P64" s="32">
        <f>SUM(E64:O64)</f>
        <v/>
      </c>
      <c r="Q64" s="32" t="n"/>
      <c r="R64" s="32" t="n"/>
      <c r="S64" s="32" t="n"/>
    </row>
    <row r="65" ht="20" customHeight="1">
      <c r="A65" t="inlineStr"/>
      <c r="B65" t="inlineStr">
        <is>
          <t>Autres produits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29" t="n">
        <v>0</v>
      </c>
      <c r="Q65" s="29" t="n">
        <v>0</v>
      </c>
      <c r="R65" s="29" t="n">
        <v>0</v>
      </c>
      <c r="S65" s="29" t="n">
        <v>0</v>
      </c>
    </row>
    <row r="66" ht="20" customHeight="1">
      <c r="A66" t="inlineStr"/>
      <c r="B66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29" t="inlineStr"/>
      <c r="Q66" s="29" t="inlineStr"/>
      <c r="R66" s="29" t="inlineStr"/>
      <c r="S66" s="29" t="inlineStr"/>
    </row>
    <row r="67" ht="20" customHeight="1">
      <c r="A67" s="4" t="inlineStr"/>
      <c r="B67" s="4" t="inlineStr">
        <is>
          <t>CA</t>
        </is>
      </c>
      <c r="C67" s="5" t="n">
        <v>0</v>
      </c>
      <c r="D67" s="5" t="n">
        <v>0</v>
      </c>
      <c r="E67" s="5">
        <f>E62+E64+E65</f>
        <v/>
      </c>
      <c r="F67" s="5">
        <f>F62+F64+F65</f>
        <v/>
      </c>
      <c r="G67" s="5">
        <f>G62+G64+G65</f>
        <v/>
      </c>
      <c r="H67" s="5">
        <f>H62+H64+H65</f>
        <v/>
      </c>
      <c r="I67" s="5">
        <f>I62+I64+I65</f>
        <v/>
      </c>
      <c r="J67" s="5">
        <f>J62+J64+J65</f>
        <v/>
      </c>
      <c r="K67" s="5">
        <f>K62+K64+K65</f>
        <v/>
      </c>
      <c r="L67" s="5">
        <f>L62+L64+L65</f>
        <v/>
      </c>
      <c r="M67" s="5">
        <f>M62+M64+M65</f>
        <v/>
      </c>
      <c r="N67" s="5">
        <f>N62+N64+N65</f>
        <v/>
      </c>
      <c r="O67" s="5">
        <f>O62+O64+O65</f>
        <v/>
      </c>
      <c r="P67" s="5">
        <f>P62+P64+P65</f>
        <v/>
      </c>
      <c r="Q67" s="5">
        <f>Q62+Q64+Q65</f>
        <v/>
      </c>
      <c r="R67" s="5">
        <f>R62+R64+R65</f>
        <v/>
      </c>
      <c r="S67" s="5">
        <f>S62+S64+S65</f>
        <v/>
      </c>
    </row>
    <row r="68" ht="20" customHeight="1">
      <c r="A68" t="inlineStr"/>
      <c r="B68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29" t="inlineStr"/>
      <c r="Q68" s="29" t="inlineStr"/>
      <c r="R68" s="29" t="inlineStr"/>
      <c r="S68" s="29" t="inlineStr"/>
    </row>
    <row r="69" ht="20" customHeight="1">
      <c r="A69" s="35" t="inlineStr"/>
      <c r="B69" s="35" t="inlineStr">
        <is>
          <t>Résultat avant impôts</t>
        </is>
      </c>
      <c r="C69" s="36">
        <f>C67+C58</f>
        <v/>
      </c>
      <c r="D69" s="36">
        <f>D67+D58</f>
        <v/>
      </c>
      <c r="E69" s="36">
        <f>E67+E58</f>
        <v/>
      </c>
      <c r="F69" s="36">
        <f>F67+F58</f>
        <v/>
      </c>
      <c r="G69" s="36">
        <f>G67+G58</f>
        <v/>
      </c>
      <c r="H69" s="36">
        <f>H67+H58</f>
        <v/>
      </c>
      <c r="I69" s="36">
        <f>I67+I58</f>
        <v/>
      </c>
      <c r="J69" s="36">
        <f>J67+J58</f>
        <v/>
      </c>
      <c r="K69" s="36">
        <f>K67+K58</f>
        <v/>
      </c>
      <c r="L69" s="36">
        <f>L67+L58</f>
        <v/>
      </c>
      <c r="M69" s="36">
        <f>M67+M58</f>
        <v/>
      </c>
      <c r="N69" s="36">
        <f>N67+N58</f>
        <v/>
      </c>
      <c r="O69" s="36">
        <f>O67+O58</f>
        <v/>
      </c>
      <c r="P69" s="36">
        <f>P67+P58</f>
        <v/>
      </c>
      <c r="Q69" s="36">
        <f>Q67+Q58</f>
        <v/>
      </c>
      <c r="R69" s="36">
        <f>R67+R58</f>
        <v/>
      </c>
      <c r="S69" s="36">
        <f>S67+S58</f>
        <v/>
      </c>
    </row>
    <row r="70" ht="20" customHeight="1">
      <c r="A70" t="inlineStr"/>
      <c r="B70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29" t="inlineStr"/>
      <c r="Q70" s="29" t="inlineStr"/>
      <c r="R70" s="29" t="inlineStr"/>
      <c r="S70" s="29" t="inlineStr"/>
    </row>
    <row r="71" ht="20" customHeight="1">
      <c r="A71" t="inlineStr"/>
      <c r="B71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29" t="inlineStr"/>
      <c r="Q71" s="29" t="inlineStr"/>
      <c r="R71" s="29" t="inlineStr"/>
      <c r="S71" s="29" t="inlineStr"/>
    </row>
    <row r="72" ht="20" customHeight="1">
      <c r="A72" t="inlineStr"/>
      <c r="B72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29" t="inlineStr"/>
      <c r="Q72" s="29" t="inlineStr"/>
      <c r="R72" s="29" t="inlineStr"/>
      <c r="S72" s="29" t="inlineStr"/>
    </row>
    <row r="74">
      <c r="A74" s="6" t="inlineStr">
        <is>
          <t>📄 Généré par 2BN CONSULTING le 03/12/2025 à 10:03:40</t>
        </is>
      </c>
    </row>
  </sheetData>
  <mergeCells count="1">
    <mergeCell ref="A1:S1"/>
  </mergeCells>
  <conditionalFormatting sqref="P5:P7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5:Q7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R5:R7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S5:S72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2025-12-03T09:03:39Z</dcterms:created>
  <dcterms:modified xmlns:dcterms="http://purl.org/dc/terms/" xmlns:xsi="http://www.w3.org/2001/XMLSchema-instance" xsi:type="dcterms:W3CDTF">2025-12-03T09:03:40Z</dcterms:modified>
</cp:coreProperties>
</file>